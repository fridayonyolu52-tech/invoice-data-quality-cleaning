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mc:AlternateContent xmlns:mc="http://schemas.openxmlformats.org/markup-compatibility/2006">
    <mc:Choice Requires="x15">
      <x15ac:absPath xmlns:x15ac="http://schemas.microsoft.com/office/spreadsheetml/2010/11/ac" url="C:\Users\FRIDAY ONYOLU\Desktop\WORKSTATION\Data_Analysis, Data_Entry Portfolio\"/>
    </mc:Choice>
  </mc:AlternateContent>
  <xr:revisionPtr revIDLastSave="0" documentId="13_ncr:1_{75A351BE-0C5F-4D1B-8735-08B6C5116619}" xr6:coauthVersionLast="43" xr6:coauthVersionMax="43" xr10:uidLastSave="{00000000-0000-0000-0000-000000000000}"/>
  <bookViews>
    <workbookView xWindow="-110" yWindow="-110" windowWidth="19420" windowHeight="10300" xr2:uid="{00000000-000D-0000-FFFF-FFFF00000000}"/>
  </bookViews>
  <sheets>
    <sheet name="Raw_Invoice_Data" sheetId="1" r:id="rId1"/>
    <sheet name="Data Quality Summary" sheetId="5" r:id="rId2"/>
    <sheet name="Quality Inspection" sheetId="2" r:id="rId3"/>
    <sheet name="Processed_Invoice_Data" sheetId="3" r:id="rId4"/>
    <sheet name="Final Validation" sheetId="4" r:id="rId5"/>
  </sheets>
  <definedNames>
    <definedName name="_xlnm._FilterDatabase" localSheetId="0" hidden="1">Raw_Invoice_Data!$A$1:$O$501</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16" i="4" l="1"/>
  <c r="B15" i="4"/>
  <c r="B14" i="4"/>
  <c r="B12" i="4"/>
  <c r="B11" i="4"/>
  <c r="B9" i="4"/>
  <c r="B6" i="4"/>
  <c r="B5" i="4"/>
  <c r="B7" i="4" s="1"/>
  <c r="D2" i="4"/>
  <c r="C2" i="4"/>
  <c r="B2" i="4"/>
</calcChain>
</file>

<file path=xl/sharedStrings.xml><?xml version="1.0" encoding="utf-8"?>
<sst xmlns="http://schemas.openxmlformats.org/spreadsheetml/2006/main" count="6200" uniqueCount="676">
  <si>
    <t>Invoice_ID</t>
  </si>
  <si>
    <t>Invoice_Date</t>
  </si>
  <si>
    <t>Customer_ID</t>
  </si>
  <si>
    <t>Customer_Name</t>
  </si>
  <si>
    <t>Product_Service</t>
  </si>
  <si>
    <t>Category</t>
  </si>
  <si>
    <t>Quantity</t>
  </si>
  <si>
    <t>Unit_Price</t>
  </si>
  <si>
    <t>Discount_Rate</t>
  </si>
  <si>
    <t>Subtotal</t>
  </si>
  <si>
    <t>Discount_Amount</t>
  </si>
  <si>
    <t>Tax_Rate</t>
  </si>
  <si>
    <t>Tax_Amount</t>
  </si>
  <si>
    <t>Invoice_Total</t>
  </si>
  <si>
    <t>Payment_Status</t>
  </si>
  <si>
    <t>INV-00001</t>
  </si>
  <si>
    <t>CUST-1001</t>
  </si>
  <si>
    <t>Amina Yusuf</t>
  </si>
  <si>
    <t>Laptop</t>
  </si>
  <si>
    <t>Electronics</t>
  </si>
  <si>
    <t>Pending</t>
  </si>
  <si>
    <t>INV-00002</t>
  </si>
  <si>
    <t>CUST-1002</t>
  </si>
  <si>
    <t>Daniel Okafor</t>
  </si>
  <si>
    <t>Wireless Mouse</t>
  </si>
  <si>
    <t>Overdue</t>
  </si>
  <si>
    <t>INV-00003</t>
  </si>
  <si>
    <t>CUST-1003</t>
  </si>
  <si>
    <t>Grace Mensah</t>
  </si>
  <si>
    <t>Office Chair</t>
  </si>
  <si>
    <t>Office Supplies</t>
  </si>
  <si>
    <t>INV-00004</t>
  </si>
  <si>
    <t>CUST-1004</t>
  </si>
  <si>
    <t>Michael Adeyemi</t>
  </si>
  <si>
    <t>Printer Paper</t>
  </si>
  <si>
    <t>Paid</t>
  </si>
  <si>
    <t>INV-00005</t>
  </si>
  <si>
    <t>CUST-1005</t>
  </si>
  <si>
    <t>Sarah Ibrahim</t>
  </si>
  <si>
    <t>Accounting Software</t>
  </si>
  <si>
    <t>Software</t>
  </si>
  <si>
    <t>INV-00006</t>
  </si>
  <si>
    <t>CUST-1006</t>
  </si>
  <si>
    <t>David Eze</t>
  </si>
  <si>
    <t>IT Support</t>
  </si>
  <si>
    <t>Services</t>
  </si>
  <si>
    <t>INV-00007</t>
  </si>
  <si>
    <t>CUST-1007</t>
  </si>
  <si>
    <t>Blessing Okoro</t>
  </si>
  <si>
    <t>Data Analysis</t>
  </si>
  <si>
    <t>Consulting</t>
  </si>
  <si>
    <t>INV-00008</t>
  </si>
  <si>
    <t>CUST-1008</t>
  </si>
  <si>
    <t>John Williams</t>
  </si>
  <si>
    <t>Business Consultation</t>
  </si>
  <si>
    <t>INV-00009</t>
  </si>
  <si>
    <t>CUST-1009</t>
  </si>
  <si>
    <t>Mary Johnson</t>
  </si>
  <si>
    <t>Keyboard</t>
  </si>
  <si>
    <t>INV-00010</t>
  </si>
  <si>
    <t>CUST-1010</t>
  </si>
  <si>
    <t>Peter Obi</t>
  </si>
  <si>
    <t>Printer</t>
  </si>
  <si>
    <t>INV-00011</t>
  </si>
  <si>
    <t>INV-00012</t>
  </si>
  <si>
    <t>INV-00013</t>
  </si>
  <si>
    <t>INV-00014</t>
  </si>
  <si>
    <t>INV-00015</t>
  </si>
  <si>
    <t>INV-00016</t>
  </si>
  <si>
    <t>INV-00017</t>
  </si>
  <si>
    <t>INV-00018</t>
  </si>
  <si>
    <t>INV-00019</t>
  </si>
  <si>
    <t>INV-00020</t>
  </si>
  <si>
    <t>INV-00021</t>
  </si>
  <si>
    <t>INV-00022</t>
  </si>
  <si>
    <t>INV-00023</t>
  </si>
  <si>
    <t>INV-00024</t>
  </si>
  <si>
    <t>INV-00026</t>
  </si>
  <si>
    <t>INV-00027</t>
  </si>
  <si>
    <t>INV-00028</t>
  </si>
  <si>
    <t>INV-00029</t>
  </si>
  <si>
    <t>INV-00030</t>
  </si>
  <si>
    <t>INV-00031</t>
  </si>
  <si>
    <t>INV-00032</t>
  </si>
  <si>
    <t>INV-00033</t>
  </si>
  <si>
    <t>INV-00034</t>
  </si>
  <si>
    <t>INV-00035</t>
  </si>
  <si>
    <t>INV-00036</t>
  </si>
  <si>
    <t>INV-00037</t>
  </si>
  <si>
    <t>INV-00038</t>
  </si>
  <si>
    <t>INV-00039</t>
  </si>
  <si>
    <t>INV-00040</t>
  </si>
  <si>
    <t>INV-00041</t>
  </si>
  <si>
    <t>INV-00042</t>
  </si>
  <si>
    <t>INV-00043</t>
  </si>
  <si>
    <t>INV-00044</t>
  </si>
  <si>
    <t>INV-00045</t>
  </si>
  <si>
    <t>INV-00046</t>
  </si>
  <si>
    <t>INV-00047</t>
  </si>
  <si>
    <t>INV-00048</t>
  </si>
  <si>
    <t>INV-00049</t>
  </si>
  <si>
    <t>INV-00050</t>
  </si>
  <si>
    <t>INV-00051</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</si>
  <si>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</si>
  <si>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</si>
  <si>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</si>
  <si>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</si>
  <si>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</si>
  <si>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</si>
  <si>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</si>
  <si>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</si>
  <si>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</si>
  <si>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</si>
  <si>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</si>
  <si>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</si>
  <si>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</si>
  <si>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</si>
  <si>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</si>
  <si>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</si>
  <si>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</si>
  <si>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</si>
  <si>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</si>
  <si>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</si>
  <si>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</si>
  <si>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</si>
  <si>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</si>
  <si>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</si>
  <si>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</si>
  <si>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</si>
  <si>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</si>
  <si>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</si>
  <si>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</si>
  <si>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</si>
  <si>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</si>
  <si>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</si>
  <si>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</si>
  <si>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</si>
  <si>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</si>
  <si>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</si>
  <si>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</si>
  <si>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</si>
  <si>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</si>
  <si>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</si>
  <si>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</si>
  <si>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</si>
  <si>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</si>
  <si>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</si>
  <si>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</si>
  <si>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</si>
  <si>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</si>
  <si>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</si>
  <si>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</si>
  <si>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</si>
  <si>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</si>
  <si>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</si>
  <si>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</si>
  <si>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</si>
  <si>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</si>
  <si>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</si>
  <si>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</si>
  <si>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</si>
  <si>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</si>
  <si>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</si>
  <si>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</si>
  <si>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</si>
  <si>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</si>
  <si>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</si>
  <si>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</si>
  <si>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</si>
  <si>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</si>
  <si>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</si>
  <si>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</si>
  <si>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</si>
  <si>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</si>
  <si>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</si>
  <si>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</si>
  <si>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</si>
  <si>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</si>
  <si>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</si>
  <si>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</si>
  <si>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</si>
  <si>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</si>
  <si>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</si>
  <si>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</si>
  <si>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</si>
  <si>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</si>
  <si>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</si>
  <si>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</si>
  <si>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</si>
  <si>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</si>
  <si>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</si>
  <si>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</si>
  <si>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</si>
  <si>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</si>
  <si>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</si>
  <si>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</si>
  <si>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</si>
  <si>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</si>
  <si>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</si>
  <si>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</si>
  <si>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</si>
  <si>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</si>
  <si>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</si>
  <si>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</si>
  <si>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</si>
  <si>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</si>
  <si>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</si>
  <si>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</si>
  <si>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</si>
  <si>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</si>
  <si>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</si>
  <si>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</si>
  <si>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</si>
  <si>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</si>
  <si>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</si>
  <si>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</si>
  <si>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</si>
  <si>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</si>
  <si>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</si>
  <si>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</si>
  <si>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</si>
  <si>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</si>
  <si>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</si>
  <si>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</si>
  <si>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</si>
  <si>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</si>
  <si>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</si>
  <si>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</si>
  <si>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</si>
  <si>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</si>
  <si>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</si>
  <si>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</si>
  <si>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</si>
  <si>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</si>
  <si>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</si>
  <si>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</si>
  <si>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</si>
  <si>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</si>
  <si>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</si>
  <si>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</si>
  <si>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</si>
  <si>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</si>
  <si>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</si>
  <si>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</si>
  <si>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</si>
  <si>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</si>
  <si>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</si>
  <si>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</si>
  <si>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</si>
  <si>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</si>
  <si>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</si>
  <si>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</si>
  <si>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</si>
  <si>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</si>
  <si>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</si>
  <si>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</si>
  <si>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</si>
  <si>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</si>
  <si>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</si>
  <si>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</si>
  <si>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</si>
  <si>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</si>
  <si>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31/02/2026</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</si>
  <si>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</si>
  <si>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</si>
  <si>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</si>
  <si>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</si>
  <si>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</si>
  <si>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</si>
  <si>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</si>
  <si>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</si>
  <si>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</si>
  <si>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</si>
  <si>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</si>
  <si>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</si>
  <si>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</si>
  <si>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</si>
  <si>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</si>
  <si>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</si>
  <si>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</si>
  <si>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</si>
  <si>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</si>
  <si>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</si>
  <si>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</si>
  <si>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</si>
  <si>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</si>
  <si>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</si>
  <si>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</si>
  <si>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</si>
  <si>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</si>
  <si>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</si>
  <si>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</si>
  <si>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</si>
  <si>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</si>
  <si>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</si>
  <si>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</si>
  <si>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</si>
  <si>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</si>
  <si>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</si>
  <si>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</si>
  <si>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</si>
  <si>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</si>
  <si>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</si>
  <si>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</si>
  <si>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</si>
  <si>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</si>
  <si>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</si>
  <si>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</si>
  <si>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paid</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</si>
  <si>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</si>
  <si>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</si>
  <si>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</si>
  <si>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</si>
  <si>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</si>
  <si>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</si>
  <si>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</si>
  <si>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</si>
  <si>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</si>
  <si>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</si>
  <si>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</si>
  <si>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</si>
  <si>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</si>
  <si>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</si>
  <si>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</si>
  <si>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</si>
  <si>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</si>
  <si>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</si>
  <si>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</si>
  <si>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</si>
  <si>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</si>
  <si>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</si>
  <si>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</si>
  <si>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</si>
  <si>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</si>
  <si>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</si>
  <si>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</si>
  <si>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</si>
  <si>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</si>
  <si>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</si>
  <si>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</si>
  <si>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</si>
  <si>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</si>
  <si>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</si>
  <si>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</si>
  <si>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</si>
  <si>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</si>
  <si>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</si>
  <si>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</si>
  <si>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</si>
  <si>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</si>
  <si>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</si>
  <si>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</si>
  <si>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</si>
  <si>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</si>
  <si>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electronics</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</si>
  <si>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</si>
  <si>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</si>
  <si>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</si>
  <si>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</si>
  <si>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</si>
  <si>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</si>
  <si>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</si>
  <si>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</si>
  <si>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</si>
  <si>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</si>
  <si>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</si>
  <si>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</si>
  <si>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</si>
  <si>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</si>
  <si>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</si>
  <si>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</si>
  <si>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</si>
  <si>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</si>
  <si>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</si>
  <si>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</si>
  <si>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</si>
  <si>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</si>
  <si>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</si>
  <si>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</si>
  <si>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</si>
  <si>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</si>
  <si>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</si>
  <si>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</si>
  <si>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</si>
  <si>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</si>
  <si>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</si>
  <si>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</si>
  <si>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</si>
  <si>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</si>
  <si>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</si>
  <si>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</si>
  <si>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</si>
  <si>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</si>
  <si>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</si>
  <si>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</si>
  <si>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</si>
  <si>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</si>
  <si>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</si>
  <si>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</si>
  <si>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</si>
  <si>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</si>
  <si>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</si>
  <si>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</si>
  <si>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</si>
  <si>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</si>
  <si>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</si>
  <si>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</si>
  <si>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</si>
  <si>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</si>
  <si>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</si>
  <si>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</si>
  <si>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</si>
  <si>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</si>
  <si>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</si>
  <si>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</si>
  <si>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</si>
  <si>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</si>
  <si>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</si>
  <si>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</si>
  <si>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</si>
  <si>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</si>
  <si>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</si>
  <si>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</si>
  <si>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</si>
  <si>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</si>
  <si>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</si>
  <si>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</si>
  <si>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</si>
  <si>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</si>
  <si>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</si>
  <si>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</si>
  <si>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</si>
  <si>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</si>
  <si>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</si>
  <si>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</si>
  <si>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</si>
  <si>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</si>
  <si>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</si>
  <si>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</si>
  <si>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</si>
  <si>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</si>
  <si>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</si>
  <si>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</si>
  <si>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</si>
  <si>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</si>
  <si>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</si>
  <si>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</si>
  <si>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</si>
  <si>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</si>
  <si>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</si>
  <si>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</si>
  <si>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</si>
  <si>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</si>
  <si>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</si>
  <si>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</si>
  <si>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</si>
  <si>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</si>
  <si>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</si>
  <si>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</si>
  <si>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</si>
  <si>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</si>
  <si>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</si>
  <si>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</si>
  <si>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</si>
  <si>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</si>
  <si>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</si>
  <si>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</si>
  <si>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</si>
  <si>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</si>
  <si>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</si>
  <si>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</si>
  <si>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</si>
  <si>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</si>
  <si>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</si>
  <si>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</si>
  <si>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</si>
  <si>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</si>
  <si>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</si>
  <si>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</si>
  <si>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</si>
  <si>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</si>
  <si>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</si>
  <si>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</si>
  <si>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</si>
  <si>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</si>
  <si>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</si>
  <si>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</si>
  <si>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</si>
  <si>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</si>
  <si>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</si>
  <si>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</si>
  <si>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</si>
  <si>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</si>
  <si>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</si>
  <si>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</si>
  <si>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</si>
  <si>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</si>
  <si>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</si>
  <si>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</si>
  <si>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</si>
  <si>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</si>
  <si>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</si>
  <si>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</si>
  <si>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</si>
  <si>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</si>
  <si>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</si>
  <si>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</si>
  <si>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</si>
  <si>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</si>
  <si>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</si>
  <si>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</si>
  <si>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</si>
  <si>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</si>
  <si>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</si>
  <si>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</si>
  <si>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</si>
  <si>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</si>
  <si>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</si>
  <si>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</si>
  <si>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</si>
  <si>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</si>
  <si>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</si>
  <si>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</si>
  <si>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</si>
  <si>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</si>
  <si>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</si>
  <si>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</si>
  <si>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</si>
  <si>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</si>
  <si>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</si>
  <si>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</si>
  <si>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</si>
  <si>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</si>
  <si>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</si>
  <si>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</si>
  <si>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</si>
  <si>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</si>
  <si>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</si>
  <si>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</si>
  <si>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</si>
  <si>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</si>
  <si>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</si>
  <si>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</si>
  <si>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</si>
  <si>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</si>
  <si>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</si>
  <si>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</si>
  <si>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</si>
  <si>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</si>
  <si>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</si>
  <si>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</si>
  <si>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</si>
  <si>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</si>
  <si>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</si>
  <si>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</si>
  <si>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Peter Ezechi</t>
  </si>
  <si>
    <t>Issue ID</t>
  </si>
  <si>
    <t>Field</t>
  </si>
  <si>
    <t>Issue Type</t>
  </si>
  <si>
    <t>Description</t>
  </si>
  <si>
    <t>Expected Rule</t>
  </si>
  <si>
    <t>Affected Row(s)</t>
  </si>
  <si>
    <t>Action</t>
  </si>
  <si>
    <t>Q001</t>
  </si>
  <si>
    <t>Duplicate</t>
  </si>
  <si>
    <t>Duplicate invoice reference</t>
  </si>
  <si>
    <t>Each Invoice_ID must be unique</t>
  </si>
  <si>
    <t>Q002</t>
  </si>
  <si>
    <t>Missing</t>
  </si>
  <si>
    <t>Customer name is blank</t>
  </si>
  <si>
    <t>Customer name should be populated</t>
  </si>
  <si>
    <t>Q003</t>
  </si>
  <si>
    <t>Invalid</t>
  </si>
  <si>
    <t>Quantity is zero</t>
  </si>
  <si>
    <t>Quantity must be &gt; 0</t>
  </si>
  <si>
    <t>Q004</t>
  </si>
  <si>
    <t>Negative price</t>
  </si>
  <si>
    <t>Unit price must be &gt; 0</t>
  </si>
  <si>
    <t>Q005</t>
  </si>
  <si>
    <t>Invalid calendar date</t>
  </si>
  <si>
    <t>Valid invoice date</t>
  </si>
  <si>
    <t>Q006</t>
  </si>
  <si>
    <t>Inconsistent</t>
  </si>
  <si>
    <t>Incorrect capitalization</t>
  </si>
  <si>
    <t>Paid/Pending/Overdue</t>
  </si>
  <si>
    <t>Q007</t>
  </si>
  <si>
    <t>Standard category names</t>
  </si>
  <si>
    <t>Q008</t>
  </si>
  <si>
    <t>Excessive discount</t>
  </si>
  <si>
    <t>Approved discount range</t>
  </si>
  <si>
    <t>Q009</t>
  </si>
  <si>
    <t>Unexpected tax rate</t>
  </si>
  <si>
    <t>Q010</t>
  </si>
  <si>
    <t>Customer ID is blank</t>
  </si>
  <si>
    <t>Customer ID should be populated</t>
  </si>
  <si>
    <t>Q011</t>
  </si>
  <si>
    <t>Incorrect</t>
  </si>
  <si>
    <t>Total does not agree with components</t>
  </si>
  <si>
    <t>25,26</t>
  </si>
  <si>
    <t>None</t>
  </si>
  <si>
    <t>No issue found</t>
  </si>
  <si>
    <t>Invoice Total = Subtotal − Discount Amount + Tax Amount</t>
  </si>
  <si>
    <t>Tax rate must be 7.5% or 10%</t>
  </si>
  <si>
    <t>Invalid calendar date retained pending source verification; no replacement date invented.</t>
  </si>
  <si>
    <t>Recalculated using Subtotal − Discount Amount + Tax Amount; corrected from 1,148,237.06 to 1,138,237.06.</t>
  </si>
  <si>
    <t>Retain both records pending source verification; do not invent replacement Invoice_ID.</t>
  </si>
  <si>
    <t>Missing value retained as blank pending source verification; no customer name invented.</t>
  </si>
  <si>
    <t>Invalid quantity retained as 0 pending source verification; no replacement quantity invented.</t>
  </si>
  <si>
    <t>Invalid negative Unit_Price retained pending source verification; no replacement price invented.</t>
  </si>
  <si>
    <t>35% discount flagged as an anomaly and retained pending business/source verification.</t>
  </si>
  <si>
    <t>Invalid 50% tax rate retained pending source verification; no replacement rate invented.</t>
  </si>
  <si>
    <t>Missing Customer_ID retained as blank pending source verification; no Customer_ID invented.</t>
  </si>
  <si>
    <t>Row</t>
  </si>
  <si>
    <t>Recorded Invoice Total</t>
  </si>
  <si>
    <t>Expected Invoice Total</t>
  </si>
  <si>
    <t>Validation</t>
  </si>
  <si>
    <t>Check</t>
  </si>
  <si>
    <t>Result</t>
  </si>
  <si>
    <t>Raw record count</t>
  </si>
  <si>
    <t>Processed record count</t>
  </si>
  <si>
    <t>Record count validation</t>
  </si>
  <si>
    <t>Duplicate Invoice ID</t>
  </si>
  <si>
    <t>Missing Customer Name</t>
  </si>
  <si>
    <t>Missing Customer ID</t>
  </si>
  <si>
    <t>Q011 Raw Invoice Total</t>
  </si>
  <si>
    <t>Q011 Processed Invoice Total</t>
  </si>
  <si>
    <t>Q011 Correction Validation</t>
  </si>
  <si>
    <t>PROJECT TITLE</t>
  </si>
  <si>
    <t>Invoice Data Quality &amp; Cleaning</t>
  </si>
  <si>
    <t>PROJECT TYPE</t>
  </si>
  <si>
    <t>Data Cleaning &amp; Quality Assurance</t>
  </si>
  <si>
    <t>DATASET</t>
  </si>
  <si>
    <t>Invoice Transaction Dataset</t>
  </si>
  <si>
    <t>RECORDS</t>
  </si>
  <si>
    <t>TOOLS</t>
  </si>
  <si>
    <t>Microsoft Excel</t>
  </si>
  <si>
    <t>PRIMARY OBJECTIVE</t>
  </si>
  <si>
    <t>Identify, document, validate, and correct data-quality issues</t>
  </si>
  <si>
    <t>This project demonstrates a structured data-quality workflow applied to a 500-record invoice transaction dataset. The process involved inspecting the raw dataset, identifying data-quality issues, documenting findings, applying evidence-based corrections, retaining unresolved issues for source verification, and performing post-cleaning validation.</t>
  </si>
  <si>
    <t>PROJECT DESCRIPTION</t>
  </si>
  <si>
    <t>Issue</t>
  </si>
  <si>
    <t>Treatment</t>
  </si>
  <si>
    <t>Retained pending source verification</t>
  </si>
  <si>
    <t>Retained as blank</t>
  </si>
  <si>
    <t>Invalid Quantity</t>
  </si>
  <si>
    <t>Negative Unit Price</t>
  </si>
  <si>
    <t>Invalid Invoice Date</t>
  </si>
  <si>
    <t>Payment Status</t>
  </si>
  <si>
    <t>Retained as anomaly pending verification</t>
  </si>
  <si>
    <t>Invalid Tax Rate</t>
  </si>
  <si>
    <t>Incorrect Invoice Total</t>
  </si>
  <si>
    <t>Corrected</t>
  </si>
  <si>
    <t>Discount Rate Anomaly</t>
  </si>
  <si>
    <t>VALIDATION RESULTS</t>
  </si>
  <si>
    <t>Validation Check</t>
  </si>
  <si>
    <t>Status</t>
  </si>
  <si>
    <t>1,138,237.06 = 1,138,237.06</t>
  </si>
  <si>
    <t>PASS</t>
  </si>
  <si>
    <t>2 records documented</t>
  </si>
  <si>
    <t>DOCUMENTED</t>
  </si>
  <si>
    <t>Blank retained</t>
  </si>
  <si>
    <t>Q011 correction</t>
  </si>
  <si>
    <t>₦10,000 correction verified</t>
  </si>
  <si>
    <t>Invoice Total reconciliation - Row 481</t>
  </si>
  <si>
    <t>Duplicate Invoice ID - INV-00024</t>
  </si>
  <si>
    <t>Missing Customer Name - Row 76</t>
  </si>
  <si>
    <t>Missing Customer ID - Row 436</t>
  </si>
  <si>
    <t>OUTSTANDING ISSUES</t>
  </si>
  <si>
    <t>The following issues remain unresolved because the available dataset does not provide sufficient evidence to determine the correct replacement values: duplicate Invoice_ID, missing Customer_Name, invalid Quantity, negative Unit_Price, invalid Invoice_Date, Discount_Rate anomaly, invalid Tax_Rate, and missing Customer_ID. These values were retained or left blank and flagged for source/business verification rather than being replaced with assumptions.</t>
  </si>
  <si>
    <t>DATA QUALITY METHODOLOGY</t>
  </si>
  <si>
    <t>The dataset was reviewed using field-level validation rules covering uniqueness, completeness, valid ranges, categorical consistency, date validity, and calculated-field reconciliation. Identified issues were recorded in the Quality Inspection sheet with affected rows, expected rules, and recommended actions. Corrections were applied only where the correct value could be determined reliably from the available data. Missing or ambiguous values were retained and documented for source verification rather than being replaced with assumptions.</t>
  </si>
  <si>
    <t>FINAL OUTCOME</t>
  </si>
  <si>
    <t>The processed dataset contains 500 invoice records, matching the raw dataset record count. One confirmed calculation error in Invoice_Total was corrected after independent reconciliation. Other identified anomalies and missing or invalid values were retained where sufficient evidence for correction was unavailable. Final validation confirmed that the corrected invoice total reconciles with its underlying components and that the documented record count was preserved.</t>
  </si>
  <si>
    <t>AUDIT NOTE</t>
  </si>
  <si>
    <t>The original raw dataset was preserved separately and was not modified during processing. The Quality Inspection sheet provides the issue log, while the Processed_Invoice_Data sheet contains the working dataset and the Final Validation sheet documents post-processing checks.</t>
  </si>
  <si>
    <t>PROJECT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</si>
</sst>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165"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xf numFmtId="0" fontId="0" fillId="0" borderId="0" xfId="0" applyAlignment="1">
      <alignment wrapText="1"/>
    </xf>
    <xf numFmtId="0" fontId="2" fillId="0" borderId="0" xfId="0" applyFont="1" applyAlignment="1">
      <alignment vertical="center" wrapText="1"/>
    </xf>
    <xf numFmtId="0" fontId="0" fillId="0" borderId="0" xfId="0" applyAlignment="1">
      <alignment horizontal="right" vertical="center" wrapText="1"/>
    </xf>
    <xf numFmtId="0" fontId="0" fillId="0" borderId="0" xfId="0" applyAlignment="1">
      <alignment horizontal="left" vertical="center"/>
    </xf>
    <xf numFmtId="0" fontId="0" fillId="0" borderId="0" xfId="0" applyAlignment="1">
      <alignment horizontal="left"/>
    </xf>
    <xf numFmtId="4" fontId="0" fillId="0" borderId="0" xfId="0" applyNumberFormat="1"/>
    <xf numFmtId="0" fontId="0" fillId="0" borderId="0" xfId="0" applyAlignment="1">
      <alignment horizontal="right"/>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2" fillId="2" borderId="0" xfId="0" applyFont="1" applyFill="1" applyAlignment="1">
      <alignment horizontal="center" wrapText="1"/>
    </xf>
    <xf numFmtId="0" fontId="0"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2" fillId="0" borderId="0" xfId="0" applyFont="1" applyAlignment="1">
      <alignment horizontal="right" vertical="center" wrapText="1"/>
    </xf>
    <xf numFmtId="0" fontId="0" fillId="0" borderId="0" xfId="0" applyAlignment="1">
      <alignment horizontal="left" wrapText="1"/>
    </xf>
    <xf numFmtId="0" fontId="0" fillId="0" borderId="0" xfId="0" applyAlignment="1">
      <alignment vertical="top" wrapText="1"/>
    </xf>
    <xf numFmtId="0" fontId="2" fillId="3" borderId="0" xfId="0" applyFont="1" applyFill="1" applyAlignment="1">
      <alignment horizontal="left"/>
    </xf>
    <xf numFmtId="0" fontId="2" fillId="3" borderId="0" xfId="0" applyFont="1" applyFill="1" applyAlignment="1">
      <alignment horizontal="left" vertical="center" wrapText="1"/>
    </xf>
    <xf numFmtId="0" fontId="0" fillId="3" borderId="0" xfId="0" applyFill="1" applyAlignment="1">
      <alignment horizontal="center"/>
    </xf>
    <xf numFmtId="0" fontId="2" fillId="3" borderId="0" xfId="0" applyFont="1" applyFill="1" applyAlignment="1">
      <alignment horizontal="center" vertical="center" wrapText="1"/>
    </xf>
    <xf numFmtId="0" fontId="2" fillId="3" borderId="0" xfId="0" applyFont="1" applyFill="1"/>
    <xf numFmtId="0" fontId="1" fillId="2" borderId="2" xfId="0" applyFont="1" applyFill="1" applyBorder="1" applyAlignment="1">
      <alignment horizontal="center" vertical="top"/>
    </xf>
    <xf numFmtId="0" fontId="2" fillId="3" borderId="0" xfId="0" applyFont="1" applyFill="1" applyAlignment="1">
      <alignment vertical="center" wrapText="1"/>
    </xf>
  </cellXfs>
  <cellStyles count="1">
    <cellStyle name="Normal" xfId="0" builtinId="0"/>
  </cellStyles>
  <dxfs count="8">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font>
        <b/>
        <i val="0"/>
        <strike val="0"/>
        <condense val="0"/>
        <extend val="0"/>
        <outline val="0"/>
        <shadow val="0"/>
        <u val="none"/>
        <vertAlign val="baseline"/>
        <sz val="11"/>
        <color auto="1"/>
        <name val="Calibri"/>
        <scheme val="none"/>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44CFAF-46C4-4555-A9AA-5491F91415D0}" name="Table2" displayName="Table2" ref="A1:O501" totalsRowShown="0" headerRowDxfId="2">
  <autoFilter ref="A1:O501" xr:uid="{C3E6355B-69CF-4D44-9A31-B6E6C0EF0CAB}"/>
  <tableColumns count="15">
    <tableColumn id="1" xr3:uid="{4E0EE129-8106-4874-A9A1-4BC5B03A4385}" name="Invoice_ID"/>
    <tableColumn id="2" xr3:uid="{44FA916A-912C-4BEA-881C-593A82DA0ECE}" name="Invoice_Date" dataDxfId="3"/>
    <tableColumn id="3" xr3:uid="{B4B72BC1-36FD-467A-8C1C-2A14B57A4625}" name="Customer_ID"/>
    <tableColumn id="4" xr3:uid="{93240619-5C92-4E00-B41A-F57559F184D1}" name="Customer_Name"/>
    <tableColumn id="5" xr3:uid="{6B03DEEC-EDC5-43E4-9692-23D1E25ACD3E}" name="Product_Service"/>
    <tableColumn id="6" xr3:uid="{62F1662A-12D6-4BBF-95C8-DD99E9A33050}" name="Category"/>
    <tableColumn id="7" xr3:uid="{DF336694-E60A-4AE4-81BC-6AF18C932BCA}" name="Quantity"/>
    <tableColumn id="8" xr3:uid="{CB55CF36-8B50-4DAC-ADBA-CDBFDAF4076A}" name="Unit_Price"/>
    <tableColumn id="9" xr3:uid="{63B2A7E1-063B-4AD0-9E80-8FD018B87DFA}" name="Discount_Rate"/>
    <tableColumn id="10" xr3:uid="{F7E45123-5CA0-427E-9719-D4A8C0501E04}" name="Subtotal"/>
    <tableColumn id="11" xr3:uid="{22EFA469-9A7F-498D-A797-380967F5E467}" name="Discount_Amount"/>
    <tableColumn id="12" xr3:uid="{1D1588B7-4002-4ADC-8F63-ADBCF055AF26}" name="Tax_Rate"/>
    <tableColumn id="13" xr3:uid="{C427D325-E1D2-46FA-9FDC-48FA4B4E34B9}" name="Tax_Amount"/>
    <tableColumn id="14" xr3:uid="{87A8C9AF-6E3B-4E95-B60E-20A5D927D4DB}" name="Invoice_Total"/>
    <tableColumn id="15" xr3:uid="{D56B6DF7-C273-4674-9CD6-8B12B1808A32}" name="Payment_Statu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A41E41-9CBA-4A80-B7F5-248AEA525821}" name="Table1" displayName="Table1" ref="A1:O501" totalsRowShown="0" headerRowDxfId="4" headerRowBorderDxfId="6" tableBorderDxfId="7">
  <tableColumns count="15">
    <tableColumn id="1" xr3:uid="{4E947276-3A34-424F-A6F0-3F96B521CB83}" name="Invoice_ID"/>
    <tableColumn id="2" xr3:uid="{319BBC41-A47F-4C73-AF5C-BA4C743AB79C}" name="Invoice_Date" dataDxfId="5"/>
    <tableColumn id="3" xr3:uid="{1618A0BE-5828-4355-8770-35C173DADD6A}" name="Customer_ID"/>
    <tableColumn id="4" xr3:uid="{3E01A857-2BEB-4391-BE16-0556135411AD}" name="Customer_Name"/>
    <tableColumn id="5" xr3:uid="{5686FE02-BE52-4B44-B71C-CB0A3CB48958}" name="Product_Service"/>
    <tableColumn id="6" xr3:uid="{F82AFA92-18E1-405B-8768-CEB682106302}" name="Category"/>
    <tableColumn id="7" xr3:uid="{39CC359F-06C8-4973-B918-D3814E6C19F8}" name="Quantity"/>
    <tableColumn id="8" xr3:uid="{E4B4849D-47AA-479F-AB13-3EF9690678B0}" name="Unit_Price"/>
    <tableColumn id="9" xr3:uid="{1E65B5E7-C586-4FEE-A158-8CCB0782C6BE}" name="Discount_Rate"/>
    <tableColumn id="10" xr3:uid="{6D9D6BD6-5ADF-4914-9E33-A2047472ED50}" name="Subtotal"/>
    <tableColumn id="11" xr3:uid="{E30C484B-87BE-487B-ACC3-D207360EA7FC}" name="Discount_Amount"/>
    <tableColumn id="12" xr3:uid="{738B73B9-D646-4A2E-A74C-5F4FFBA98E83}" name="Tax_Rate"/>
    <tableColumn id="13" xr3:uid="{94C683F1-A1BE-4B31-8247-39E3AF861515}" name="Tax_Amount"/>
    <tableColumn id="14" xr3:uid="{4B7A9A69-2B39-48FF-931C-A38433B796B2}" name="Invoice_Total"/>
    <tableColumn id="15" xr3:uid="{40B1A901-3E27-45D1-BE58-CF7278B68805}" name="Payment_Statu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tabSelected="1" zoomScale="60" zoomScaleNormal="60" workbookViewId="0">
      <pane ySplit="1" topLeftCell="A469" activePane="bottomLeft" state="frozen"/>
      <selection pane="bottomLeft" activeCell="R478" sqref="R478"/>
    </sheetView>
  </sheetViews>
  <sheetFormatPr defaultRowHeight="14.5" x14ac:dyDescent="0.35"/>
  <cols>
    <col min="1" max="1" width="14.08984375" bestFit="1" customWidth="1"/>
    <col min="2" max="2" width="19.1796875" bestFit="1" customWidth="1"/>
    <col min="3" max="3" width="16.36328125" bestFit="1" customWidth="1"/>
    <col min="4" max="4" width="19.54296875" bestFit="1" customWidth="1"/>
    <col min="5" max="5" width="19.1796875" bestFit="1" customWidth="1"/>
    <col min="6" max="6" width="13.1796875" bestFit="1" customWidth="1"/>
    <col min="7" max="7" width="12.7265625" bestFit="1" customWidth="1"/>
    <col min="8" max="8" width="14" bestFit="1" customWidth="1"/>
    <col min="9" max="9" width="17.6328125" bestFit="1" customWidth="1"/>
    <col min="10" max="10" width="12.453125" bestFit="1" customWidth="1"/>
    <col min="11" max="11" width="20.6328125" bestFit="1" customWidth="1"/>
    <col min="12" max="12" width="13.08984375" bestFit="1" customWidth="1"/>
    <col min="13" max="13" width="16.08984375" bestFit="1" customWidth="1"/>
    <col min="14" max="14" width="17.6328125" customWidth="1"/>
    <col min="15" max="15" width="19.179687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s="2">
        <v>46098</v>
      </c>
      <c r="C2" t="s">
        <v>16</v>
      </c>
      <c r="D2" t="s">
        <v>17</v>
      </c>
      <c r="E2" t="s">
        <v>18</v>
      </c>
      <c r="F2" t="s">
        <v>19</v>
      </c>
      <c r="G2">
        <v>7</v>
      </c>
      <c r="H2">
        <v>680840.47</v>
      </c>
      <c r="I2">
        <v>0.1</v>
      </c>
      <c r="J2">
        <v>4765883.29</v>
      </c>
      <c r="K2">
        <v>476588.33</v>
      </c>
      <c r="L2">
        <v>7.4999999999999997E-2</v>
      </c>
      <c r="M2">
        <v>321697.12</v>
      </c>
      <c r="N2">
        <v>4610992.08</v>
      </c>
      <c r="O2" t="s">
        <v>20</v>
      </c>
    </row>
    <row r="3" spans="1:15" x14ac:dyDescent="0.35">
      <c r="A3" t="s">
        <v>21</v>
      </c>
      <c r="B3" s="2">
        <v>46229</v>
      </c>
      <c r="C3" t="s">
        <v>22</v>
      </c>
      <c r="D3" t="s">
        <v>23</v>
      </c>
      <c r="E3" t="s">
        <v>24</v>
      </c>
      <c r="F3" t="s">
        <v>19</v>
      </c>
      <c r="G3">
        <v>7</v>
      </c>
      <c r="H3">
        <v>17844</v>
      </c>
      <c r="I3">
        <v>0.1</v>
      </c>
      <c r="J3">
        <v>124908</v>
      </c>
      <c r="K3">
        <v>12490.8</v>
      </c>
      <c r="L3">
        <v>7.4999999999999997E-2</v>
      </c>
      <c r="M3">
        <v>8431.2900000000009</v>
      </c>
      <c r="N3">
        <v>120848.49</v>
      </c>
      <c r="O3" t="s">
        <v>25</v>
      </c>
    </row>
    <row r="4" spans="1:15" x14ac:dyDescent="0.35">
      <c r="A4" t="s">
        <v>26</v>
      </c>
      <c r="B4" s="2">
        <v>46079</v>
      </c>
      <c r="C4" t="s">
        <v>27</v>
      </c>
      <c r="D4" t="s">
        <v>28</v>
      </c>
      <c r="E4" t="s">
        <v>29</v>
      </c>
      <c r="F4" t="s">
        <v>30</v>
      </c>
      <c r="G4">
        <v>4</v>
      </c>
      <c r="H4">
        <v>89571.58</v>
      </c>
      <c r="I4">
        <v>0.1</v>
      </c>
      <c r="J4">
        <v>358286.32</v>
      </c>
      <c r="K4">
        <v>35828.629999999997</v>
      </c>
      <c r="L4">
        <v>0.1</v>
      </c>
      <c r="M4">
        <v>32245.77</v>
      </c>
      <c r="N4">
        <v>354703.46</v>
      </c>
      <c r="O4" t="s">
        <v>25</v>
      </c>
    </row>
    <row r="5" spans="1:15" x14ac:dyDescent="0.35">
      <c r="A5" t="s">
        <v>31</v>
      </c>
      <c r="B5" s="2">
        <v>46214</v>
      </c>
      <c r="C5" t="s">
        <v>32</v>
      </c>
      <c r="D5" t="s">
        <v>33</v>
      </c>
      <c r="E5" t="s">
        <v>34</v>
      </c>
      <c r="F5" t="s">
        <v>30</v>
      </c>
      <c r="G5">
        <v>4</v>
      </c>
      <c r="H5">
        <v>12842.02</v>
      </c>
      <c r="I5">
        <v>0.05</v>
      </c>
      <c r="J5">
        <v>51368.08</v>
      </c>
      <c r="K5">
        <v>2568.4</v>
      </c>
      <c r="L5">
        <v>0.1</v>
      </c>
      <c r="M5">
        <v>4879.97</v>
      </c>
      <c r="N5">
        <v>53679.65</v>
      </c>
      <c r="O5" t="s">
        <v>35</v>
      </c>
    </row>
    <row r="6" spans="1:15" x14ac:dyDescent="0.35">
      <c r="A6" t="s">
        <v>36</v>
      </c>
      <c r="B6" s="2">
        <v>46115</v>
      </c>
      <c r="C6" t="s">
        <v>37</v>
      </c>
      <c r="D6" t="s">
        <v>38</v>
      </c>
      <c r="E6" t="s">
        <v>39</v>
      </c>
      <c r="F6" t="s">
        <v>40</v>
      </c>
      <c r="G6">
        <v>4</v>
      </c>
      <c r="H6">
        <v>152679.67999999999</v>
      </c>
      <c r="I6">
        <v>0</v>
      </c>
      <c r="J6">
        <v>610718.71999999997</v>
      </c>
      <c r="K6">
        <v>0</v>
      </c>
      <c r="L6">
        <v>0.1</v>
      </c>
      <c r="M6">
        <v>61071.87</v>
      </c>
      <c r="N6">
        <v>671790.59</v>
      </c>
      <c r="O6" t="s">
        <v>35</v>
      </c>
    </row>
    <row r="7" spans="1:15" x14ac:dyDescent="0.35">
      <c r="A7" t="s">
        <v>41</v>
      </c>
      <c r="B7" s="2">
        <v>46214</v>
      </c>
      <c r="C7" t="s">
        <v>42</v>
      </c>
      <c r="D7" t="s">
        <v>43</v>
      </c>
      <c r="E7" t="s">
        <v>44</v>
      </c>
      <c r="F7" t="s">
        <v>45</v>
      </c>
      <c r="G7">
        <v>3</v>
      </c>
      <c r="H7">
        <v>83638.11</v>
      </c>
      <c r="I7">
        <v>0.15</v>
      </c>
      <c r="J7">
        <v>250914.33</v>
      </c>
      <c r="K7">
        <v>37637.15</v>
      </c>
      <c r="L7">
        <v>0.1</v>
      </c>
      <c r="M7">
        <v>21327.72</v>
      </c>
      <c r="N7">
        <v>234604.9</v>
      </c>
      <c r="O7" t="s">
        <v>35</v>
      </c>
    </row>
    <row r="8" spans="1:15" x14ac:dyDescent="0.35">
      <c r="A8" t="s">
        <v>46</v>
      </c>
      <c r="B8" s="2">
        <v>46134</v>
      </c>
      <c r="C8" t="s">
        <v>47</v>
      </c>
      <c r="D8" t="s">
        <v>48</v>
      </c>
      <c r="E8" t="s">
        <v>49</v>
      </c>
      <c r="F8" t="s">
        <v>50</v>
      </c>
      <c r="G8">
        <v>6</v>
      </c>
      <c r="H8">
        <v>112139.64</v>
      </c>
      <c r="I8">
        <v>0.05</v>
      </c>
      <c r="J8">
        <v>672837.84</v>
      </c>
      <c r="K8">
        <v>33641.89</v>
      </c>
      <c r="L8">
        <v>7.4999999999999997E-2</v>
      </c>
      <c r="M8">
        <v>47939.7</v>
      </c>
      <c r="N8">
        <v>687135.65</v>
      </c>
      <c r="O8" t="s">
        <v>35</v>
      </c>
    </row>
    <row r="9" spans="1:15" x14ac:dyDescent="0.35">
      <c r="A9" t="s">
        <v>51</v>
      </c>
      <c r="B9" s="2">
        <v>46047</v>
      </c>
      <c r="C9" t="s">
        <v>52</v>
      </c>
      <c r="D9" t="s">
        <v>53</v>
      </c>
      <c r="E9" t="s">
        <v>54</v>
      </c>
      <c r="F9" t="s">
        <v>50</v>
      </c>
      <c r="G9">
        <v>1</v>
      </c>
      <c r="H9">
        <v>92743.21</v>
      </c>
      <c r="I9">
        <v>0.1</v>
      </c>
      <c r="J9">
        <v>92743.21</v>
      </c>
      <c r="K9">
        <v>9274.32</v>
      </c>
      <c r="L9">
        <v>7.4999999999999997E-2</v>
      </c>
      <c r="M9">
        <v>6260.17</v>
      </c>
      <c r="N9">
        <v>89729.06</v>
      </c>
      <c r="O9" t="s">
        <v>35</v>
      </c>
    </row>
    <row r="10" spans="1:15" x14ac:dyDescent="0.35">
      <c r="A10" t="s">
        <v>55</v>
      </c>
      <c r="B10" s="2">
        <v>46035</v>
      </c>
      <c r="C10" t="s">
        <v>56</v>
      </c>
      <c r="D10" t="s">
        <v>57</v>
      </c>
      <c r="E10" t="s">
        <v>58</v>
      </c>
      <c r="F10" t="s">
        <v>19</v>
      </c>
      <c r="G10">
        <v>2</v>
      </c>
      <c r="H10">
        <v>26795.54</v>
      </c>
      <c r="I10">
        <v>0.15</v>
      </c>
      <c r="J10">
        <v>53591.08</v>
      </c>
      <c r="K10">
        <v>8038.66</v>
      </c>
      <c r="L10">
        <v>0.1</v>
      </c>
      <c r="M10">
        <v>4555.24</v>
      </c>
      <c r="N10">
        <v>50107.66</v>
      </c>
      <c r="O10" t="s">
        <v>35</v>
      </c>
    </row>
    <row r="11" spans="1:15" x14ac:dyDescent="0.35">
      <c r="A11" t="s">
        <v>59</v>
      </c>
      <c r="B11" s="2">
        <v>46225</v>
      </c>
      <c r="C11" t="s">
        <v>60</v>
      </c>
      <c r="D11" t="s">
        <v>61</v>
      </c>
      <c r="E11" t="s">
        <v>62</v>
      </c>
      <c r="F11" t="s">
        <v>19</v>
      </c>
      <c r="G11">
        <v>2</v>
      </c>
      <c r="H11">
        <v>226485</v>
      </c>
      <c r="I11">
        <v>0.1</v>
      </c>
      <c r="J11">
        <v>452970</v>
      </c>
      <c r="K11">
        <v>45297</v>
      </c>
      <c r="L11">
        <v>0.1</v>
      </c>
      <c r="M11">
        <v>40767.300000000003</v>
      </c>
      <c r="N11">
        <v>448440.3</v>
      </c>
      <c r="O11" t="s">
        <v>20</v>
      </c>
    </row>
    <row r="12" spans="1:15" x14ac:dyDescent="0.35">
      <c r="A12" t="s">
        <v>63</v>
      </c>
      <c r="B12" s="2">
        <v>46076</v>
      </c>
      <c r="C12" t="s">
        <v>16</v>
      </c>
      <c r="D12" t="s">
        <v>17</v>
      </c>
      <c r="E12" t="s">
        <v>18</v>
      </c>
      <c r="F12" t="s">
        <v>19</v>
      </c>
      <c r="G12">
        <v>7</v>
      </c>
      <c r="H12">
        <v>616029.92000000004</v>
      </c>
      <c r="I12">
        <v>0</v>
      </c>
      <c r="J12">
        <v>4312209.4400000004</v>
      </c>
      <c r="K12">
        <v>0</v>
      </c>
      <c r="L12">
        <v>0.1</v>
      </c>
      <c r="M12">
        <v>431220.94</v>
      </c>
      <c r="N12">
        <v>4743430.38</v>
      </c>
      <c r="O12" t="s">
        <v>20</v>
      </c>
    </row>
    <row r="13" spans="1:15" x14ac:dyDescent="0.35">
      <c r="A13" t="s">
        <v>64</v>
      </c>
      <c r="B13" s="2">
        <v>46030</v>
      </c>
      <c r="C13" t="s">
        <v>22</v>
      </c>
      <c r="D13" t="s">
        <v>23</v>
      </c>
      <c r="E13" t="s">
        <v>24</v>
      </c>
      <c r="F13" t="s">
        <v>19</v>
      </c>
      <c r="G13">
        <v>2</v>
      </c>
      <c r="H13">
        <v>17784.45</v>
      </c>
      <c r="I13">
        <v>0.05</v>
      </c>
      <c r="J13">
        <v>35568.9</v>
      </c>
      <c r="K13">
        <v>1778.45</v>
      </c>
      <c r="L13">
        <v>0.1</v>
      </c>
      <c r="M13">
        <v>3379.05</v>
      </c>
      <c r="N13">
        <v>37169.5</v>
      </c>
      <c r="O13" t="s">
        <v>35</v>
      </c>
    </row>
    <row r="14" spans="1:15" x14ac:dyDescent="0.35">
      <c r="A14" t="s">
        <v>65</v>
      </c>
      <c r="B14" s="2">
        <v>46228</v>
      </c>
      <c r="C14" t="s">
        <v>27</v>
      </c>
      <c r="D14" t="s">
        <v>28</v>
      </c>
      <c r="E14" t="s">
        <v>29</v>
      </c>
      <c r="F14" t="s">
        <v>30</v>
      </c>
      <c r="G14">
        <v>7</v>
      </c>
      <c r="H14">
        <v>100202.73</v>
      </c>
      <c r="I14">
        <v>0.15</v>
      </c>
      <c r="J14">
        <v>701419.11</v>
      </c>
      <c r="K14">
        <v>105212.87</v>
      </c>
      <c r="L14">
        <v>0.1</v>
      </c>
      <c r="M14">
        <v>59620.62</v>
      </c>
      <c r="N14">
        <v>655826.86</v>
      </c>
      <c r="O14" t="s">
        <v>25</v>
      </c>
    </row>
    <row r="15" spans="1:15" x14ac:dyDescent="0.35">
      <c r="A15" t="s">
        <v>66</v>
      </c>
      <c r="B15" s="2">
        <v>46232</v>
      </c>
      <c r="C15" t="s">
        <v>32</v>
      </c>
      <c r="D15" t="s">
        <v>33</v>
      </c>
      <c r="E15" t="s">
        <v>34</v>
      </c>
      <c r="F15" t="s">
        <v>30</v>
      </c>
      <c r="G15">
        <v>6</v>
      </c>
      <c r="H15">
        <v>12436.36</v>
      </c>
      <c r="I15">
        <v>0.1</v>
      </c>
      <c r="J15">
        <v>74618.16</v>
      </c>
      <c r="K15">
        <v>7461.82</v>
      </c>
      <c r="L15">
        <v>0.1</v>
      </c>
      <c r="M15">
        <v>6715.63</v>
      </c>
      <c r="N15">
        <v>73871.97</v>
      </c>
      <c r="O15" t="s">
        <v>35</v>
      </c>
    </row>
    <row r="16" spans="1:15" x14ac:dyDescent="0.35">
      <c r="A16" t="s">
        <v>67</v>
      </c>
      <c r="B16" s="2">
        <v>46263</v>
      </c>
      <c r="C16" t="s">
        <v>37</v>
      </c>
      <c r="D16" t="s">
        <v>38</v>
      </c>
      <c r="E16" t="s">
        <v>39</v>
      </c>
      <c r="F16" t="s">
        <v>40</v>
      </c>
      <c r="G16">
        <v>1</v>
      </c>
      <c r="H16">
        <v>161068.13</v>
      </c>
      <c r="I16">
        <v>0</v>
      </c>
      <c r="J16">
        <v>161068.13</v>
      </c>
      <c r="K16">
        <v>0</v>
      </c>
      <c r="L16">
        <v>0.1</v>
      </c>
      <c r="M16">
        <v>16106.81</v>
      </c>
      <c r="N16">
        <v>177174.94</v>
      </c>
      <c r="O16" t="s">
        <v>35</v>
      </c>
    </row>
    <row r="17" spans="1:15" x14ac:dyDescent="0.35">
      <c r="A17" t="s">
        <v>68</v>
      </c>
      <c r="B17" s="2">
        <v>46214</v>
      </c>
      <c r="C17" t="s">
        <v>42</v>
      </c>
      <c r="D17" t="s">
        <v>43</v>
      </c>
      <c r="E17" t="s">
        <v>44</v>
      </c>
      <c r="F17" t="s">
        <v>45</v>
      </c>
      <c r="G17">
        <v>5</v>
      </c>
      <c r="H17">
        <v>86179.82</v>
      </c>
      <c r="I17">
        <v>0</v>
      </c>
      <c r="J17">
        <v>430899.1</v>
      </c>
      <c r="K17">
        <v>0</v>
      </c>
      <c r="L17">
        <v>0.1</v>
      </c>
      <c r="M17">
        <v>43089.91</v>
      </c>
      <c r="N17">
        <v>473989.01</v>
      </c>
      <c r="O17" t="s">
        <v>35</v>
      </c>
    </row>
    <row r="18" spans="1:15" x14ac:dyDescent="0.35">
      <c r="A18" t="s">
        <v>69</v>
      </c>
      <c r="B18" s="2">
        <v>46115</v>
      </c>
      <c r="C18" t="s">
        <v>47</v>
      </c>
      <c r="D18" t="s">
        <v>48</v>
      </c>
      <c r="E18" t="s">
        <v>49</v>
      </c>
      <c r="F18" t="s">
        <v>50</v>
      </c>
      <c r="G18">
        <v>1</v>
      </c>
      <c r="H18">
        <v>116088.45</v>
      </c>
      <c r="I18">
        <v>0</v>
      </c>
      <c r="J18">
        <v>116088.45</v>
      </c>
      <c r="K18">
        <v>0</v>
      </c>
      <c r="L18">
        <v>7.4999999999999997E-2</v>
      </c>
      <c r="M18">
        <v>8706.6299999999992</v>
      </c>
      <c r="N18">
        <v>124795.08</v>
      </c>
      <c r="O18" t="s">
        <v>25</v>
      </c>
    </row>
    <row r="19" spans="1:15" x14ac:dyDescent="0.35">
      <c r="A19" t="s">
        <v>70</v>
      </c>
      <c r="B19" s="2">
        <v>46165</v>
      </c>
      <c r="C19" t="s">
        <v>52</v>
      </c>
      <c r="D19" t="s">
        <v>53</v>
      </c>
      <c r="E19" t="s">
        <v>54</v>
      </c>
      <c r="F19" t="s">
        <v>50</v>
      </c>
      <c r="G19">
        <v>1</v>
      </c>
      <c r="H19">
        <v>95179.45</v>
      </c>
      <c r="I19">
        <v>0.15</v>
      </c>
      <c r="J19">
        <v>95179.45</v>
      </c>
      <c r="K19">
        <v>14276.92</v>
      </c>
      <c r="L19">
        <v>7.4999999999999997E-2</v>
      </c>
      <c r="M19">
        <v>6067.69</v>
      </c>
      <c r="N19">
        <v>86970.22</v>
      </c>
      <c r="O19" t="s">
        <v>35</v>
      </c>
    </row>
    <row r="20" spans="1:15" x14ac:dyDescent="0.35">
      <c r="A20" t="s">
        <v>71</v>
      </c>
      <c r="B20" s="2">
        <v>46260</v>
      </c>
      <c r="C20" t="s">
        <v>56</v>
      </c>
      <c r="D20" t="s">
        <v>57</v>
      </c>
      <c r="E20" t="s">
        <v>58</v>
      </c>
      <c r="F20" t="s">
        <v>19</v>
      </c>
      <c r="G20">
        <v>3</v>
      </c>
      <c r="H20">
        <v>26160.7</v>
      </c>
      <c r="I20">
        <v>0.1</v>
      </c>
      <c r="J20">
        <v>78482.100000000006</v>
      </c>
      <c r="K20">
        <v>7848.21</v>
      </c>
      <c r="L20">
        <v>7.4999999999999997E-2</v>
      </c>
      <c r="M20">
        <v>5297.54</v>
      </c>
      <c r="N20">
        <v>75931.429999999993</v>
      </c>
      <c r="O20" t="s">
        <v>35</v>
      </c>
    </row>
    <row r="21" spans="1:15" x14ac:dyDescent="0.35">
      <c r="A21" t="s">
        <v>72</v>
      </c>
      <c r="B21" s="2">
        <v>46038</v>
      </c>
      <c r="C21" t="s">
        <v>60</v>
      </c>
      <c r="D21" t="s">
        <v>61</v>
      </c>
      <c r="E21" t="s">
        <v>62</v>
      </c>
      <c r="F21" t="s">
        <v>19</v>
      </c>
      <c r="G21">
        <v>1</v>
      </c>
      <c r="H21">
        <v>234606.58</v>
      </c>
      <c r="I21">
        <v>0</v>
      </c>
      <c r="J21">
        <v>234606.58</v>
      </c>
      <c r="K21">
        <v>0</v>
      </c>
      <c r="L21">
        <v>0.1</v>
      </c>
      <c r="M21">
        <v>23460.66</v>
      </c>
      <c r="N21">
        <v>258067.24</v>
      </c>
      <c r="O21" t="s">
        <v>35</v>
      </c>
    </row>
    <row r="22" spans="1:15" x14ac:dyDescent="0.35">
      <c r="A22" t="s">
        <v>73</v>
      </c>
      <c r="B22" s="2">
        <v>46125</v>
      </c>
      <c r="C22" t="s">
        <v>16</v>
      </c>
      <c r="D22" t="s">
        <v>17</v>
      </c>
      <c r="E22" t="s">
        <v>18</v>
      </c>
      <c r="F22" t="s">
        <v>19</v>
      </c>
      <c r="G22">
        <v>7</v>
      </c>
      <c r="H22">
        <v>630342.16</v>
      </c>
      <c r="I22">
        <v>0.15</v>
      </c>
      <c r="J22">
        <v>4412395.12</v>
      </c>
      <c r="K22">
        <v>661859.27</v>
      </c>
      <c r="L22">
        <v>7.4999999999999997E-2</v>
      </c>
      <c r="M22">
        <v>281290.19</v>
      </c>
      <c r="N22">
        <v>4031826.04</v>
      </c>
      <c r="O22" t="s">
        <v>20</v>
      </c>
    </row>
    <row r="23" spans="1:15" x14ac:dyDescent="0.35">
      <c r="A23" t="s">
        <v>74</v>
      </c>
      <c r="B23" s="2">
        <v>46127</v>
      </c>
      <c r="C23" t="s">
        <v>22</v>
      </c>
      <c r="D23" t="s">
        <v>23</v>
      </c>
      <c r="E23" t="s">
        <v>24</v>
      </c>
      <c r="F23" t="s">
        <v>19</v>
      </c>
      <c r="G23">
        <v>6</v>
      </c>
      <c r="H23">
        <v>19115.169999999998</v>
      </c>
      <c r="I23">
        <v>0</v>
      </c>
      <c r="J23">
        <v>114691.02</v>
      </c>
      <c r="K23">
        <v>0</v>
      </c>
      <c r="L23">
        <v>7.4999999999999997E-2</v>
      </c>
      <c r="M23">
        <v>8601.83</v>
      </c>
      <c r="N23">
        <v>123292.85</v>
      </c>
      <c r="O23" t="s">
        <v>25</v>
      </c>
    </row>
    <row r="24" spans="1:15" x14ac:dyDescent="0.35">
      <c r="A24" t="s">
        <v>75</v>
      </c>
      <c r="B24" s="2">
        <v>46168</v>
      </c>
      <c r="C24" t="s">
        <v>27</v>
      </c>
      <c r="D24" t="s">
        <v>28</v>
      </c>
      <c r="E24" t="s">
        <v>29</v>
      </c>
      <c r="F24" t="s">
        <v>30</v>
      </c>
      <c r="G24">
        <v>3</v>
      </c>
      <c r="H24">
        <v>98963.93</v>
      </c>
      <c r="I24">
        <v>0.05</v>
      </c>
      <c r="J24">
        <v>296891.78999999998</v>
      </c>
      <c r="K24">
        <v>14844.59</v>
      </c>
      <c r="L24">
        <v>7.4999999999999997E-2</v>
      </c>
      <c r="M24">
        <v>21153.54</v>
      </c>
      <c r="N24">
        <v>303200.74</v>
      </c>
      <c r="O24" t="s">
        <v>35</v>
      </c>
    </row>
    <row r="25" spans="1:15" x14ac:dyDescent="0.35">
      <c r="A25" t="s">
        <v>76</v>
      </c>
      <c r="B25" s="2">
        <v>46150</v>
      </c>
      <c r="C25" t="s">
        <v>32</v>
      </c>
      <c r="D25" t="s">
        <v>33</v>
      </c>
      <c r="E25" t="s">
        <v>34</v>
      </c>
      <c r="F25" t="s">
        <v>30</v>
      </c>
      <c r="G25">
        <v>1</v>
      </c>
      <c r="H25">
        <v>12404.47</v>
      </c>
      <c r="I25">
        <v>0.05</v>
      </c>
      <c r="J25">
        <v>12404.47</v>
      </c>
      <c r="K25">
        <v>620.22</v>
      </c>
      <c r="L25">
        <v>0.1</v>
      </c>
      <c r="M25">
        <v>1178.42</v>
      </c>
      <c r="N25">
        <v>12962.67</v>
      </c>
      <c r="O25" t="s">
        <v>35</v>
      </c>
    </row>
    <row r="26" spans="1:15" x14ac:dyDescent="0.35">
      <c r="A26" t="s">
        <v>76</v>
      </c>
      <c r="B26" s="2">
        <v>46122</v>
      </c>
      <c r="C26" t="s">
        <v>37</v>
      </c>
      <c r="D26" t="s">
        <v>38</v>
      </c>
      <c r="E26" t="s">
        <v>39</v>
      </c>
      <c r="F26" t="s">
        <v>40</v>
      </c>
      <c r="G26">
        <v>7</v>
      </c>
      <c r="H26">
        <v>159498.32999999999</v>
      </c>
      <c r="I26">
        <v>0</v>
      </c>
      <c r="J26">
        <v>1116488.31</v>
      </c>
      <c r="K26">
        <v>0</v>
      </c>
      <c r="L26">
        <v>0.1</v>
      </c>
      <c r="M26">
        <v>111648.83</v>
      </c>
      <c r="N26">
        <v>1228137.1399999999</v>
      </c>
      <c r="O26" t="s">
        <v>20</v>
      </c>
    </row>
    <row r="27" spans="1:15" x14ac:dyDescent="0.35">
      <c r="A27" t="s">
        <v>77</v>
      </c>
      <c r="B27" s="2">
        <v>46197</v>
      </c>
      <c r="C27" t="s">
        <v>42</v>
      </c>
      <c r="D27" t="s">
        <v>43</v>
      </c>
      <c r="E27" t="s">
        <v>44</v>
      </c>
      <c r="F27" t="s">
        <v>45</v>
      </c>
      <c r="G27">
        <v>5</v>
      </c>
      <c r="H27">
        <v>81590.37</v>
      </c>
      <c r="I27">
        <v>0</v>
      </c>
      <c r="J27">
        <v>407951.85</v>
      </c>
      <c r="K27">
        <v>0</v>
      </c>
      <c r="L27">
        <v>7.4999999999999997E-2</v>
      </c>
      <c r="M27">
        <v>30596.39</v>
      </c>
      <c r="N27">
        <v>438548.24</v>
      </c>
      <c r="O27" t="s">
        <v>35</v>
      </c>
    </row>
    <row r="28" spans="1:15" x14ac:dyDescent="0.35">
      <c r="A28" t="s">
        <v>78</v>
      </c>
      <c r="B28" s="2">
        <v>46112</v>
      </c>
      <c r="C28" t="s">
        <v>47</v>
      </c>
      <c r="D28" t="s">
        <v>48</v>
      </c>
      <c r="E28" t="s">
        <v>49</v>
      </c>
      <c r="F28" t="s">
        <v>50</v>
      </c>
      <c r="G28">
        <v>5</v>
      </c>
      <c r="H28">
        <v>111878.01</v>
      </c>
      <c r="I28">
        <v>0.1</v>
      </c>
      <c r="J28">
        <v>559390.05000000005</v>
      </c>
      <c r="K28">
        <v>55939</v>
      </c>
      <c r="L28">
        <v>7.4999999999999997E-2</v>
      </c>
      <c r="M28">
        <v>37758.83</v>
      </c>
      <c r="N28">
        <v>541209.88</v>
      </c>
      <c r="O28" t="s">
        <v>25</v>
      </c>
    </row>
    <row r="29" spans="1:15" x14ac:dyDescent="0.35">
      <c r="A29" t="s">
        <v>79</v>
      </c>
      <c r="B29" s="2">
        <v>46160</v>
      </c>
      <c r="C29" t="s">
        <v>52</v>
      </c>
      <c r="D29" t="s">
        <v>53</v>
      </c>
      <c r="E29" t="s">
        <v>54</v>
      </c>
      <c r="F29" t="s">
        <v>50</v>
      </c>
      <c r="G29">
        <v>2</v>
      </c>
      <c r="H29">
        <v>104929.93</v>
      </c>
      <c r="I29">
        <v>0</v>
      </c>
      <c r="J29">
        <v>209859.86</v>
      </c>
      <c r="K29">
        <v>0</v>
      </c>
      <c r="L29">
        <v>7.4999999999999997E-2</v>
      </c>
      <c r="M29">
        <v>15739.49</v>
      </c>
      <c r="N29">
        <v>225599.35</v>
      </c>
      <c r="O29" t="s">
        <v>35</v>
      </c>
    </row>
    <row r="30" spans="1:15" x14ac:dyDescent="0.35">
      <c r="A30" t="s">
        <v>80</v>
      </c>
      <c r="B30" s="2">
        <v>46101</v>
      </c>
      <c r="C30" t="s">
        <v>56</v>
      </c>
      <c r="D30" t="s">
        <v>57</v>
      </c>
      <c r="E30" t="s">
        <v>58</v>
      </c>
      <c r="F30" t="s">
        <v>19</v>
      </c>
      <c r="G30">
        <v>4</v>
      </c>
      <c r="H30">
        <v>23746.28</v>
      </c>
      <c r="I30">
        <v>0.05</v>
      </c>
      <c r="J30">
        <v>94985.12</v>
      </c>
      <c r="K30">
        <v>4749.26</v>
      </c>
      <c r="L30">
        <v>0.1</v>
      </c>
      <c r="M30">
        <v>9023.59</v>
      </c>
      <c r="N30">
        <v>99259.45</v>
      </c>
      <c r="O30" t="s">
        <v>35</v>
      </c>
    </row>
    <row r="31" spans="1:15" x14ac:dyDescent="0.35">
      <c r="A31" t="s">
        <v>81</v>
      </c>
      <c r="B31" s="2">
        <v>46251</v>
      </c>
      <c r="C31" t="s">
        <v>60</v>
      </c>
      <c r="D31" t="s">
        <v>61</v>
      </c>
      <c r="E31" t="s">
        <v>62</v>
      </c>
      <c r="F31" t="s">
        <v>19</v>
      </c>
      <c r="G31">
        <v>7</v>
      </c>
      <c r="H31">
        <v>233942.41</v>
      </c>
      <c r="I31">
        <v>0.1</v>
      </c>
      <c r="J31">
        <v>1637596.87</v>
      </c>
      <c r="K31">
        <v>163759.69</v>
      </c>
      <c r="L31">
        <v>0.1</v>
      </c>
      <c r="M31">
        <v>147383.72</v>
      </c>
      <c r="N31">
        <v>1621220.9</v>
      </c>
      <c r="O31" t="s">
        <v>35</v>
      </c>
    </row>
    <row r="32" spans="1:15" x14ac:dyDescent="0.35">
      <c r="A32" t="s">
        <v>82</v>
      </c>
      <c r="B32" s="2">
        <v>46259</v>
      </c>
      <c r="C32" t="s">
        <v>16</v>
      </c>
      <c r="D32" t="s">
        <v>17</v>
      </c>
      <c r="E32" t="s">
        <v>18</v>
      </c>
      <c r="F32" t="s">
        <v>19</v>
      </c>
      <c r="G32">
        <v>3</v>
      </c>
      <c r="H32">
        <v>642419.21</v>
      </c>
      <c r="I32">
        <v>0.15</v>
      </c>
      <c r="J32">
        <v>1927257.63</v>
      </c>
      <c r="K32">
        <v>289088.64000000001</v>
      </c>
      <c r="L32">
        <v>7.4999999999999997E-2</v>
      </c>
      <c r="M32">
        <v>122862.67</v>
      </c>
      <c r="N32">
        <v>1761031.66</v>
      </c>
      <c r="O32" t="s">
        <v>35</v>
      </c>
    </row>
    <row r="33" spans="1:15" x14ac:dyDescent="0.35">
      <c r="A33" t="s">
        <v>83</v>
      </c>
      <c r="B33" s="2">
        <v>46191</v>
      </c>
      <c r="C33" t="s">
        <v>22</v>
      </c>
      <c r="D33" t="s">
        <v>23</v>
      </c>
      <c r="E33" t="s">
        <v>24</v>
      </c>
      <c r="F33" t="s">
        <v>19</v>
      </c>
      <c r="G33">
        <v>6</v>
      </c>
      <c r="H33">
        <v>18030.95</v>
      </c>
      <c r="I33">
        <v>0</v>
      </c>
      <c r="J33">
        <v>108185.7</v>
      </c>
      <c r="K33">
        <v>0</v>
      </c>
      <c r="L33">
        <v>0.1</v>
      </c>
      <c r="M33">
        <v>10818.57</v>
      </c>
      <c r="N33">
        <v>119004.27</v>
      </c>
      <c r="O33" t="s">
        <v>20</v>
      </c>
    </row>
    <row r="34" spans="1:15" x14ac:dyDescent="0.35">
      <c r="A34" t="s">
        <v>84</v>
      </c>
      <c r="B34" s="2">
        <v>46144</v>
      </c>
      <c r="C34" t="s">
        <v>27</v>
      </c>
      <c r="D34" t="s">
        <v>28</v>
      </c>
      <c r="E34" t="s">
        <v>29</v>
      </c>
      <c r="F34" t="s">
        <v>30</v>
      </c>
      <c r="G34">
        <v>2</v>
      </c>
      <c r="H34">
        <v>92531.75</v>
      </c>
      <c r="I34">
        <v>0.1</v>
      </c>
      <c r="J34">
        <v>185063.5</v>
      </c>
      <c r="K34">
        <v>18506.349999999999</v>
      </c>
      <c r="L34">
        <v>7.4999999999999997E-2</v>
      </c>
      <c r="M34">
        <v>12491.79</v>
      </c>
      <c r="N34">
        <v>179048.94</v>
      </c>
      <c r="O34" t="s">
        <v>35</v>
      </c>
    </row>
    <row r="35" spans="1:15" x14ac:dyDescent="0.35">
      <c r="A35" t="s">
        <v>85</v>
      </c>
      <c r="B35" s="2">
        <v>46212</v>
      </c>
      <c r="C35" t="s">
        <v>32</v>
      </c>
      <c r="D35" t="s">
        <v>33</v>
      </c>
      <c r="E35" t="s">
        <v>34</v>
      </c>
      <c r="F35" t="s">
        <v>30</v>
      </c>
      <c r="G35">
        <v>1</v>
      </c>
      <c r="H35">
        <v>11815.37</v>
      </c>
      <c r="I35">
        <v>0.05</v>
      </c>
      <c r="J35">
        <v>11815.37</v>
      </c>
      <c r="K35">
        <v>590.77</v>
      </c>
      <c r="L35">
        <v>7.4999999999999997E-2</v>
      </c>
      <c r="M35">
        <v>841.84</v>
      </c>
      <c r="N35">
        <v>12066.44</v>
      </c>
      <c r="O35" t="s">
        <v>25</v>
      </c>
    </row>
    <row r="36" spans="1:15" x14ac:dyDescent="0.35">
      <c r="A36" t="s">
        <v>86</v>
      </c>
      <c r="B36" s="2">
        <v>46127</v>
      </c>
      <c r="C36" t="s">
        <v>37</v>
      </c>
      <c r="D36" t="s">
        <v>38</v>
      </c>
      <c r="E36" t="s">
        <v>39</v>
      </c>
      <c r="F36" t="s">
        <v>40</v>
      </c>
      <c r="G36">
        <v>6</v>
      </c>
      <c r="H36">
        <v>154711.29999999999</v>
      </c>
      <c r="I36">
        <v>0.1</v>
      </c>
      <c r="J36">
        <v>928267.8</v>
      </c>
      <c r="K36">
        <v>92826.78</v>
      </c>
      <c r="L36">
        <v>7.4999999999999997E-2</v>
      </c>
      <c r="M36">
        <v>62658.080000000002</v>
      </c>
      <c r="N36">
        <v>898099.1</v>
      </c>
      <c r="O36" t="s">
        <v>35</v>
      </c>
    </row>
    <row r="37" spans="1:15" x14ac:dyDescent="0.35">
      <c r="A37" t="s">
        <v>87</v>
      </c>
      <c r="B37" s="2">
        <v>46246</v>
      </c>
      <c r="C37" t="s">
        <v>42</v>
      </c>
      <c r="D37" t="s">
        <v>43</v>
      </c>
      <c r="E37" t="s">
        <v>44</v>
      </c>
      <c r="F37" t="s">
        <v>45</v>
      </c>
      <c r="G37">
        <v>1</v>
      </c>
      <c r="H37">
        <v>81828.22</v>
      </c>
      <c r="I37">
        <v>0.05</v>
      </c>
      <c r="J37">
        <v>81828.22</v>
      </c>
      <c r="K37">
        <v>4091.41</v>
      </c>
      <c r="L37">
        <v>0.1</v>
      </c>
      <c r="M37">
        <v>7773.68</v>
      </c>
      <c r="N37">
        <v>85510.49</v>
      </c>
      <c r="O37" t="s">
        <v>35</v>
      </c>
    </row>
    <row r="38" spans="1:15" x14ac:dyDescent="0.35">
      <c r="A38" t="s">
        <v>88</v>
      </c>
      <c r="B38" s="2">
        <v>46152</v>
      </c>
      <c r="C38" t="s">
        <v>47</v>
      </c>
      <c r="D38" t="s">
        <v>48</v>
      </c>
      <c r="E38" t="s">
        <v>49</v>
      </c>
      <c r="F38" t="s">
        <v>50</v>
      </c>
      <c r="G38">
        <v>5</v>
      </c>
      <c r="H38">
        <v>117025.37</v>
      </c>
      <c r="I38">
        <v>0</v>
      </c>
      <c r="J38">
        <v>585126.85</v>
      </c>
      <c r="K38">
        <v>0</v>
      </c>
      <c r="L38">
        <v>7.4999999999999997E-2</v>
      </c>
      <c r="M38">
        <v>43884.51</v>
      </c>
      <c r="N38">
        <v>629011.36</v>
      </c>
      <c r="O38" t="s">
        <v>35</v>
      </c>
    </row>
    <row r="39" spans="1:15" x14ac:dyDescent="0.35">
      <c r="A39" t="s">
        <v>89</v>
      </c>
      <c r="B39" s="2">
        <v>46094</v>
      </c>
      <c r="C39" t="s">
        <v>52</v>
      </c>
      <c r="D39" t="s">
        <v>53</v>
      </c>
      <c r="E39" t="s">
        <v>54</v>
      </c>
      <c r="F39" t="s">
        <v>50</v>
      </c>
      <c r="G39">
        <v>4</v>
      </c>
      <c r="H39">
        <v>99164.53</v>
      </c>
      <c r="I39">
        <v>0.05</v>
      </c>
      <c r="J39">
        <v>396658.12</v>
      </c>
      <c r="K39">
        <v>19832.91</v>
      </c>
      <c r="L39">
        <v>0.1</v>
      </c>
      <c r="M39">
        <v>37682.519999999997</v>
      </c>
      <c r="N39">
        <v>414507.73</v>
      </c>
      <c r="O39" t="s">
        <v>35</v>
      </c>
    </row>
    <row r="40" spans="1:15" x14ac:dyDescent="0.35">
      <c r="A40" t="s">
        <v>90</v>
      </c>
      <c r="B40" s="2">
        <v>46095</v>
      </c>
      <c r="C40" t="s">
        <v>56</v>
      </c>
      <c r="D40" t="s">
        <v>57</v>
      </c>
      <c r="E40" t="s">
        <v>58</v>
      </c>
      <c r="F40" t="s">
        <v>19</v>
      </c>
      <c r="G40">
        <v>3</v>
      </c>
      <c r="H40">
        <v>23968.639999999999</v>
      </c>
      <c r="I40">
        <v>0.05</v>
      </c>
      <c r="J40">
        <v>71905.919999999998</v>
      </c>
      <c r="K40">
        <v>3595.3</v>
      </c>
      <c r="L40">
        <v>0.1</v>
      </c>
      <c r="M40">
        <v>6831.06</v>
      </c>
      <c r="N40">
        <v>75141.679999999993</v>
      </c>
      <c r="O40" t="s">
        <v>20</v>
      </c>
    </row>
    <row r="41" spans="1:15" x14ac:dyDescent="0.35">
      <c r="A41" t="s">
        <v>91</v>
      </c>
      <c r="B41" s="2">
        <v>46170</v>
      </c>
      <c r="C41" t="s">
        <v>60</v>
      </c>
      <c r="D41" t="s">
        <v>61</v>
      </c>
      <c r="E41" t="s">
        <v>62</v>
      </c>
      <c r="F41" t="s">
        <v>19</v>
      </c>
      <c r="G41">
        <v>6</v>
      </c>
      <c r="H41">
        <v>216438.62</v>
      </c>
      <c r="I41">
        <v>0.1</v>
      </c>
      <c r="J41">
        <v>1298631.72</v>
      </c>
      <c r="K41">
        <v>129863.17</v>
      </c>
      <c r="L41">
        <v>0.1</v>
      </c>
      <c r="M41">
        <v>116876.86</v>
      </c>
      <c r="N41">
        <v>1285645.4099999999</v>
      </c>
      <c r="O41" t="s">
        <v>20</v>
      </c>
    </row>
    <row r="42" spans="1:15" x14ac:dyDescent="0.35">
      <c r="A42" t="s">
        <v>92</v>
      </c>
      <c r="B42" s="2">
        <v>46029</v>
      </c>
      <c r="C42" t="s">
        <v>16</v>
      </c>
      <c r="D42" t="s">
        <v>17</v>
      </c>
      <c r="E42" t="s">
        <v>18</v>
      </c>
      <c r="F42" t="s">
        <v>19</v>
      </c>
      <c r="G42">
        <v>4</v>
      </c>
      <c r="H42">
        <v>650852.67000000004</v>
      </c>
      <c r="I42">
        <v>0.15</v>
      </c>
      <c r="J42">
        <v>2603410.6800000002</v>
      </c>
      <c r="K42">
        <v>390511.6</v>
      </c>
      <c r="L42">
        <v>7.4999999999999997E-2</v>
      </c>
      <c r="M42">
        <v>165967.43</v>
      </c>
      <c r="N42">
        <v>2378866.5099999998</v>
      </c>
      <c r="O42" t="s">
        <v>20</v>
      </c>
    </row>
    <row r="43" spans="1:15" x14ac:dyDescent="0.35">
      <c r="A43" t="s">
        <v>93</v>
      </c>
      <c r="B43" s="2">
        <v>46173</v>
      </c>
      <c r="C43" t="s">
        <v>22</v>
      </c>
      <c r="D43" t="s">
        <v>23</v>
      </c>
      <c r="E43" t="s">
        <v>24</v>
      </c>
      <c r="F43" t="s">
        <v>19</v>
      </c>
      <c r="G43">
        <v>3</v>
      </c>
      <c r="H43">
        <v>17194.29</v>
      </c>
      <c r="I43">
        <v>0.05</v>
      </c>
      <c r="J43">
        <v>51582.87</v>
      </c>
      <c r="K43">
        <v>2579.14</v>
      </c>
      <c r="L43">
        <v>7.4999999999999997E-2</v>
      </c>
      <c r="M43">
        <v>3675.28</v>
      </c>
      <c r="N43">
        <v>52679.01</v>
      </c>
      <c r="O43" t="s">
        <v>35</v>
      </c>
    </row>
    <row r="44" spans="1:15" x14ac:dyDescent="0.35">
      <c r="A44" t="s">
        <v>94</v>
      </c>
      <c r="B44" s="2">
        <v>46154</v>
      </c>
      <c r="C44" t="s">
        <v>27</v>
      </c>
      <c r="D44" t="s">
        <v>28</v>
      </c>
      <c r="E44" t="s">
        <v>29</v>
      </c>
      <c r="F44" t="s">
        <v>30</v>
      </c>
      <c r="G44">
        <v>7</v>
      </c>
      <c r="H44">
        <v>90050.37</v>
      </c>
      <c r="I44">
        <v>0</v>
      </c>
      <c r="J44">
        <v>630352.59</v>
      </c>
      <c r="K44">
        <v>0</v>
      </c>
      <c r="L44">
        <v>0.1</v>
      </c>
      <c r="M44">
        <v>63035.26</v>
      </c>
      <c r="N44">
        <v>693387.85</v>
      </c>
      <c r="O44" t="s">
        <v>35</v>
      </c>
    </row>
    <row r="45" spans="1:15" x14ac:dyDescent="0.35">
      <c r="A45" t="s">
        <v>95</v>
      </c>
      <c r="B45" s="2">
        <v>46204</v>
      </c>
      <c r="C45" t="s">
        <v>32</v>
      </c>
      <c r="D45" t="s">
        <v>33</v>
      </c>
      <c r="E45" t="s">
        <v>34</v>
      </c>
      <c r="F45" t="s">
        <v>30</v>
      </c>
      <c r="G45">
        <v>1</v>
      </c>
      <c r="H45">
        <v>12337.33</v>
      </c>
      <c r="I45">
        <v>0</v>
      </c>
      <c r="J45">
        <v>12337.33</v>
      </c>
      <c r="K45">
        <v>0</v>
      </c>
      <c r="L45">
        <v>7.4999999999999997E-2</v>
      </c>
      <c r="M45">
        <v>925.3</v>
      </c>
      <c r="N45">
        <v>13262.63</v>
      </c>
      <c r="O45" t="s">
        <v>25</v>
      </c>
    </row>
    <row r="46" spans="1:15" x14ac:dyDescent="0.35">
      <c r="A46" t="s">
        <v>96</v>
      </c>
      <c r="B46" s="2">
        <v>46170</v>
      </c>
      <c r="C46" t="s">
        <v>37</v>
      </c>
      <c r="D46" t="s">
        <v>38</v>
      </c>
      <c r="E46" t="s">
        <v>39</v>
      </c>
      <c r="F46" t="s">
        <v>40</v>
      </c>
      <c r="G46">
        <v>6</v>
      </c>
      <c r="H46">
        <v>154698.82999999999</v>
      </c>
      <c r="I46">
        <v>0.1</v>
      </c>
      <c r="J46">
        <v>928192.98</v>
      </c>
      <c r="K46">
        <v>92819.3</v>
      </c>
      <c r="L46">
        <v>0.1</v>
      </c>
      <c r="M46">
        <v>83537.37</v>
      </c>
      <c r="N46">
        <v>918911.05</v>
      </c>
      <c r="O46" t="s">
        <v>20</v>
      </c>
    </row>
    <row r="47" spans="1:15" x14ac:dyDescent="0.35">
      <c r="A47" t="s">
        <v>97</v>
      </c>
      <c r="B47" s="2">
        <v>46155</v>
      </c>
      <c r="C47" t="s">
        <v>42</v>
      </c>
      <c r="D47" t="s">
        <v>43</v>
      </c>
      <c r="E47" t="s">
        <v>44</v>
      </c>
      <c r="F47" t="s">
        <v>45</v>
      </c>
      <c r="G47">
        <v>1</v>
      </c>
      <c r="H47">
        <v>85226.25</v>
      </c>
      <c r="I47">
        <v>0</v>
      </c>
      <c r="J47">
        <v>85226.25</v>
      </c>
      <c r="K47">
        <v>0</v>
      </c>
      <c r="L47">
        <v>0.1</v>
      </c>
      <c r="M47">
        <v>8522.6200000000008</v>
      </c>
      <c r="N47">
        <v>93748.87</v>
      </c>
      <c r="O47" t="s">
        <v>35</v>
      </c>
    </row>
    <row r="48" spans="1:15" x14ac:dyDescent="0.35">
      <c r="A48" t="s">
        <v>98</v>
      </c>
      <c r="B48" s="2">
        <v>46035</v>
      </c>
      <c r="C48" t="s">
        <v>47</v>
      </c>
      <c r="D48" t="s">
        <v>48</v>
      </c>
      <c r="E48" t="s">
        <v>49</v>
      </c>
      <c r="F48" t="s">
        <v>50</v>
      </c>
      <c r="G48">
        <v>4</v>
      </c>
      <c r="H48">
        <v>121119.23</v>
      </c>
      <c r="I48">
        <v>0.15</v>
      </c>
      <c r="J48">
        <v>484476.92</v>
      </c>
      <c r="K48">
        <v>72671.539999999994</v>
      </c>
      <c r="L48">
        <v>7.4999999999999997E-2</v>
      </c>
      <c r="M48">
        <v>30885.4</v>
      </c>
      <c r="N48">
        <v>442690.78</v>
      </c>
      <c r="O48" t="s">
        <v>35</v>
      </c>
    </row>
    <row r="49" spans="1:15" x14ac:dyDescent="0.35">
      <c r="A49" t="s">
        <v>99</v>
      </c>
      <c r="B49" s="2">
        <v>46178</v>
      </c>
      <c r="C49" t="s">
        <v>52</v>
      </c>
      <c r="D49" t="s">
        <v>53</v>
      </c>
      <c r="E49" t="s">
        <v>54</v>
      </c>
      <c r="F49" t="s">
        <v>50</v>
      </c>
      <c r="G49">
        <v>3</v>
      </c>
      <c r="H49">
        <v>103615.29</v>
      </c>
      <c r="I49">
        <v>0.1</v>
      </c>
      <c r="J49">
        <v>310845.87</v>
      </c>
      <c r="K49">
        <v>31084.59</v>
      </c>
      <c r="L49">
        <v>0.1</v>
      </c>
      <c r="M49">
        <v>27976.13</v>
      </c>
      <c r="N49">
        <v>307737.40999999997</v>
      </c>
      <c r="O49" t="s">
        <v>35</v>
      </c>
    </row>
    <row r="50" spans="1:15" x14ac:dyDescent="0.35">
      <c r="A50" t="s">
        <v>100</v>
      </c>
      <c r="B50" s="2">
        <v>46226</v>
      </c>
      <c r="C50" t="s">
        <v>56</v>
      </c>
      <c r="D50" t="s">
        <v>57</v>
      </c>
      <c r="E50" t="s">
        <v>58</v>
      </c>
      <c r="F50" t="s">
        <v>19</v>
      </c>
      <c r="G50">
        <v>1</v>
      </c>
      <c r="H50">
        <v>25568.13</v>
      </c>
      <c r="I50">
        <v>0.1</v>
      </c>
      <c r="J50">
        <v>25568.13</v>
      </c>
      <c r="K50">
        <v>2556.81</v>
      </c>
      <c r="L50">
        <v>7.4999999999999997E-2</v>
      </c>
      <c r="M50">
        <v>1725.85</v>
      </c>
      <c r="N50">
        <v>24737.17</v>
      </c>
      <c r="O50" t="s">
        <v>20</v>
      </c>
    </row>
    <row r="51" spans="1:15" x14ac:dyDescent="0.35">
      <c r="A51" t="s">
        <v>101</v>
      </c>
      <c r="B51" s="2">
        <v>46243</v>
      </c>
      <c r="C51" t="s">
        <v>60</v>
      </c>
      <c r="D51" t="s">
        <v>61</v>
      </c>
      <c r="E51" t="s">
        <v>62</v>
      </c>
      <c r="F51" t="s">
        <v>19</v>
      </c>
      <c r="G51">
        <v>4</v>
      </c>
      <c r="H51">
        <v>222840.17</v>
      </c>
      <c r="I51">
        <v>0.15</v>
      </c>
      <c r="J51">
        <v>891360.68</v>
      </c>
      <c r="K51">
        <v>133704.1</v>
      </c>
      <c r="L51">
        <v>0.1</v>
      </c>
      <c r="M51">
        <v>75765.66</v>
      </c>
      <c r="N51">
        <v>833422.24</v>
      </c>
      <c r="O51" t="s">
        <v>20</v>
      </c>
    </row>
    <row r="52" spans="1:15" x14ac:dyDescent="0.35">
      <c r="A52" t="s">
        <v>102</v>
      </c>
      <c r="B52" s="2">
        <v>46220</v>
      </c>
      <c r="C52" t="s">
        <v>16</v>
      </c>
      <c r="D52" t="s">
        <v>17</v>
      </c>
      <c r="E52" t="s">
        <v>18</v>
      </c>
      <c r="F52" t="s">
        <v>19</v>
      </c>
      <c r="G52">
        <v>5</v>
      </c>
      <c r="H52">
        <v>627527.78</v>
      </c>
      <c r="I52">
        <v>0.05</v>
      </c>
      <c r="J52">
        <v>3137638.9</v>
      </c>
      <c r="K52">
        <v>156881.94</v>
      </c>
      <c r="L52">
        <v>0.1</v>
      </c>
      <c r="M52">
        <v>298075.7</v>
      </c>
      <c r="N52">
        <v>3278832.66</v>
      </c>
      <c r="O52" t="s">
        <v>20</v>
      </c>
    </row>
    <row r="53" spans="1:15" x14ac:dyDescent="0.35">
      <c r="A53" t="s">
        <v>103</v>
      </c>
      <c r="B53" s="2">
        <v>46059</v>
      </c>
      <c r="C53" t="s">
        <v>22</v>
      </c>
      <c r="D53" t="s">
        <v>23</v>
      </c>
      <c r="E53" t="s">
        <v>24</v>
      </c>
      <c r="F53" t="s">
        <v>19</v>
      </c>
      <c r="G53">
        <v>5</v>
      </c>
      <c r="H53">
        <v>17205.900000000001</v>
      </c>
      <c r="I53">
        <v>0</v>
      </c>
      <c r="J53">
        <v>86029.5</v>
      </c>
      <c r="K53">
        <v>0</v>
      </c>
      <c r="L53">
        <v>0.1</v>
      </c>
      <c r="M53">
        <v>8602.9500000000007</v>
      </c>
      <c r="N53">
        <v>94632.45</v>
      </c>
      <c r="O53" t="s">
        <v>35</v>
      </c>
    </row>
    <row r="54" spans="1:15" x14ac:dyDescent="0.35">
      <c r="A54" t="s">
        <v>104</v>
      </c>
      <c r="B54" s="2">
        <v>46221</v>
      </c>
      <c r="C54" t="s">
        <v>27</v>
      </c>
      <c r="D54" t="s">
        <v>28</v>
      </c>
      <c r="E54" t="s">
        <v>29</v>
      </c>
      <c r="F54" t="s">
        <v>30</v>
      </c>
      <c r="G54">
        <v>4</v>
      </c>
      <c r="H54">
        <v>92970.33</v>
      </c>
      <c r="I54">
        <v>0.15</v>
      </c>
      <c r="J54">
        <v>371881.32</v>
      </c>
      <c r="K54">
        <v>55782.2</v>
      </c>
      <c r="L54">
        <v>7.4999999999999997E-2</v>
      </c>
      <c r="M54">
        <v>23707.43</v>
      </c>
      <c r="N54">
        <v>339806.55</v>
      </c>
      <c r="O54" t="s">
        <v>20</v>
      </c>
    </row>
    <row r="55" spans="1:15" x14ac:dyDescent="0.35">
      <c r="A55" t="s">
        <v>105</v>
      </c>
      <c r="B55" s="2">
        <v>46240</v>
      </c>
      <c r="C55" t="s">
        <v>32</v>
      </c>
      <c r="D55" t="s">
        <v>33</v>
      </c>
      <c r="E55" t="s">
        <v>34</v>
      </c>
      <c r="F55" t="s">
        <v>30</v>
      </c>
      <c r="G55">
        <v>1</v>
      </c>
      <c r="H55">
        <v>12081.68</v>
      </c>
      <c r="I55">
        <v>0.1</v>
      </c>
      <c r="J55">
        <v>12081.68</v>
      </c>
      <c r="K55">
        <v>1208.17</v>
      </c>
      <c r="L55">
        <v>7.4999999999999997E-2</v>
      </c>
      <c r="M55">
        <v>815.51</v>
      </c>
      <c r="N55">
        <v>11689.02</v>
      </c>
      <c r="O55" t="s">
        <v>35</v>
      </c>
    </row>
    <row r="56" spans="1:15" x14ac:dyDescent="0.35">
      <c r="A56" t="s">
        <v>106</v>
      </c>
      <c r="B56" s="2">
        <v>46077</v>
      </c>
      <c r="C56" t="s">
        <v>37</v>
      </c>
      <c r="D56" t="s">
        <v>38</v>
      </c>
      <c r="E56" t="s">
        <v>39</v>
      </c>
      <c r="F56" t="s">
        <v>40</v>
      </c>
      <c r="G56">
        <v>6</v>
      </c>
      <c r="H56">
        <v>152156.9</v>
      </c>
      <c r="I56">
        <v>0.05</v>
      </c>
      <c r="J56">
        <v>912941.4</v>
      </c>
      <c r="K56">
        <v>45647.07</v>
      </c>
      <c r="L56">
        <v>7.4999999999999997E-2</v>
      </c>
      <c r="M56">
        <v>65047.07</v>
      </c>
      <c r="N56">
        <v>932341.4</v>
      </c>
      <c r="O56" t="s">
        <v>25</v>
      </c>
    </row>
    <row r="57" spans="1:15" x14ac:dyDescent="0.35">
      <c r="A57" t="s">
        <v>107</v>
      </c>
      <c r="B57" s="2">
        <v>46123</v>
      </c>
      <c r="C57" t="s">
        <v>42</v>
      </c>
      <c r="D57" t="s">
        <v>43</v>
      </c>
      <c r="E57" t="s">
        <v>44</v>
      </c>
      <c r="F57" t="s">
        <v>45</v>
      </c>
      <c r="G57">
        <v>3</v>
      </c>
      <c r="H57">
        <v>84107.76</v>
      </c>
      <c r="I57">
        <v>0</v>
      </c>
      <c r="J57">
        <v>252323.28</v>
      </c>
      <c r="K57">
        <v>0</v>
      </c>
      <c r="L57">
        <v>0.1</v>
      </c>
      <c r="M57">
        <v>25232.33</v>
      </c>
      <c r="N57">
        <v>277555.61</v>
      </c>
      <c r="O57" t="s">
        <v>20</v>
      </c>
    </row>
    <row r="58" spans="1:15" x14ac:dyDescent="0.35">
      <c r="A58" t="s">
        <v>108</v>
      </c>
      <c r="B58" s="2">
        <v>46173</v>
      </c>
      <c r="C58" t="s">
        <v>47</v>
      </c>
      <c r="D58" t="s">
        <v>48</v>
      </c>
      <c r="E58" t="s">
        <v>49</v>
      </c>
      <c r="F58" t="s">
        <v>50</v>
      </c>
      <c r="G58">
        <v>1</v>
      </c>
      <c r="H58">
        <v>114148.67</v>
      </c>
      <c r="I58">
        <v>0</v>
      </c>
      <c r="J58">
        <v>114148.67</v>
      </c>
      <c r="K58">
        <v>0</v>
      </c>
      <c r="L58">
        <v>0.1</v>
      </c>
      <c r="M58">
        <v>11414.87</v>
      </c>
      <c r="N58">
        <v>125563.54</v>
      </c>
      <c r="O58" t="s">
        <v>20</v>
      </c>
    </row>
    <row r="59" spans="1:15" x14ac:dyDescent="0.35">
      <c r="A59" t="s">
        <v>109</v>
      </c>
      <c r="B59" s="2">
        <v>46184</v>
      </c>
      <c r="C59" t="s">
        <v>52</v>
      </c>
      <c r="D59" t="s">
        <v>53</v>
      </c>
      <c r="E59" t="s">
        <v>54</v>
      </c>
      <c r="F59" t="s">
        <v>50</v>
      </c>
      <c r="G59">
        <v>1</v>
      </c>
      <c r="H59">
        <v>92697.66</v>
      </c>
      <c r="I59">
        <v>0.15</v>
      </c>
      <c r="J59">
        <v>92697.66</v>
      </c>
      <c r="K59">
        <v>13904.65</v>
      </c>
      <c r="L59">
        <v>0.1</v>
      </c>
      <c r="M59">
        <v>7879.3</v>
      </c>
      <c r="N59">
        <v>86672.31</v>
      </c>
      <c r="O59" t="s">
        <v>25</v>
      </c>
    </row>
    <row r="60" spans="1:15" x14ac:dyDescent="0.35">
      <c r="A60" t="s">
        <v>110</v>
      </c>
      <c r="B60" s="2">
        <v>46063</v>
      </c>
      <c r="C60" t="s">
        <v>56</v>
      </c>
      <c r="D60" t="s">
        <v>57</v>
      </c>
      <c r="E60" t="s">
        <v>58</v>
      </c>
      <c r="F60" t="s">
        <v>19</v>
      </c>
      <c r="G60">
        <v>5</v>
      </c>
      <c r="H60">
        <v>26533.98</v>
      </c>
      <c r="I60">
        <v>0.15</v>
      </c>
      <c r="J60">
        <v>132669.9</v>
      </c>
      <c r="K60">
        <v>19900.48</v>
      </c>
      <c r="L60">
        <v>7.4999999999999997E-2</v>
      </c>
      <c r="M60">
        <v>8457.7099999999991</v>
      </c>
      <c r="N60">
        <v>121227.13</v>
      </c>
      <c r="O60" t="s">
        <v>25</v>
      </c>
    </row>
    <row r="61" spans="1:15" x14ac:dyDescent="0.35">
      <c r="A61" t="s">
        <v>111</v>
      </c>
      <c r="B61" s="2">
        <v>46214</v>
      </c>
      <c r="C61" t="s">
        <v>60</v>
      </c>
      <c r="D61" t="s">
        <v>61</v>
      </c>
      <c r="E61" t="s">
        <v>62</v>
      </c>
      <c r="F61" t="s">
        <v>19</v>
      </c>
      <c r="G61">
        <v>1</v>
      </c>
      <c r="H61">
        <v>221857.33</v>
      </c>
      <c r="I61">
        <v>0.1</v>
      </c>
      <c r="J61">
        <v>221857.33</v>
      </c>
      <c r="K61">
        <v>22185.73</v>
      </c>
      <c r="L61">
        <v>7.4999999999999997E-2</v>
      </c>
      <c r="M61">
        <v>14975.37</v>
      </c>
      <c r="N61">
        <v>214646.97</v>
      </c>
      <c r="O61" t="s">
        <v>25</v>
      </c>
    </row>
    <row r="62" spans="1:15" x14ac:dyDescent="0.35">
      <c r="A62" t="s">
        <v>112</v>
      </c>
      <c r="B62" s="2">
        <v>46187</v>
      </c>
      <c r="C62" t="s">
        <v>16</v>
      </c>
      <c r="D62" t="s">
        <v>17</v>
      </c>
      <c r="E62" t="s">
        <v>18</v>
      </c>
      <c r="F62" t="s">
        <v>19</v>
      </c>
      <c r="G62">
        <v>7</v>
      </c>
      <c r="H62">
        <v>629792.49</v>
      </c>
      <c r="I62">
        <v>0.15</v>
      </c>
      <c r="J62">
        <v>4408547.43</v>
      </c>
      <c r="K62">
        <v>661282.11</v>
      </c>
      <c r="L62">
        <v>7.4999999999999997E-2</v>
      </c>
      <c r="M62">
        <v>281044.90000000002</v>
      </c>
      <c r="N62">
        <v>4028310.22</v>
      </c>
      <c r="O62" t="s">
        <v>35</v>
      </c>
    </row>
    <row r="63" spans="1:15" x14ac:dyDescent="0.35">
      <c r="A63" t="s">
        <v>113</v>
      </c>
      <c r="B63" s="2">
        <v>46084</v>
      </c>
      <c r="C63" t="s">
        <v>22</v>
      </c>
      <c r="D63" t="s">
        <v>23</v>
      </c>
      <c r="E63" t="s">
        <v>24</v>
      </c>
      <c r="F63" t="s">
        <v>19</v>
      </c>
      <c r="G63">
        <v>2</v>
      </c>
      <c r="H63">
        <v>18163.59</v>
      </c>
      <c r="I63">
        <v>0.1</v>
      </c>
      <c r="J63">
        <v>36327.18</v>
      </c>
      <c r="K63">
        <v>3632.72</v>
      </c>
      <c r="L63">
        <v>0.1</v>
      </c>
      <c r="M63">
        <v>3269.45</v>
      </c>
      <c r="N63">
        <v>35963.910000000003</v>
      </c>
      <c r="O63" t="s">
        <v>25</v>
      </c>
    </row>
    <row r="64" spans="1:15" x14ac:dyDescent="0.35">
      <c r="A64" t="s">
        <v>114</v>
      </c>
      <c r="B64" s="2">
        <v>46112</v>
      </c>
      <c r="C64" t="s">
        <v>27</v>
      </c>
      <c r="D64" t="s">
        <v>28</v>
      </c>
      <c r="E64" t="s">
        <v>29</v>
      </c>
      <c r="F64" t="s">
        <v>30</v>
      </c>
      <c r="G64">
        <v>6</v>
      </c>
      <c r="H64">
        <v>88877.08</v>
      </c>
      <c r="I64">
        <v>0.15</v>
      </c>
      <c r="J64">
        <v>533262.48</v>
      </c>
      <c r="K64">
        <v>79989.37</v>
      </c>
      <c r="L64">
        <v>7.4999999999999997E-2</v>
      </c>
      <c r="M64">
        <v>33995.480000000003</v>
      </c>
      <c r="N64">
        <v>487268.59</v>
      </c>
      <c r="O64" t="s">
        <v>35</v>
      </c>
    </row>
    <row r="65" spans="1:15" x14ac:dyDescent="0.35">
      <c r="A65" t="s">
        <v>115</v>
      </c>
      <c r="B65" s="2">
        <v>46043</v>
      </c>
      <c r="C65" t="s">
        <v>32</v>
      </c>
      <c r="D65" t="s">
        <v>33</v>
      </c>
      <c r="E65" t="s">
        <v>34</v>
      </c>
      <c r="F65" t="s">
        <v>30</v>
      </c>
      <c r="G65">
        <v>7</v>
      </c>
      <c r="H65">
        <v>12035.19</v>
      </c>
      <c r="I65">
        <v>0.05</v>
      </c>
      <c r="J65">
        <v>84246.33</v>
      </c>
      <c r="K65">
        <v>4212.32</v>
      </c>
      <c r="L65">
        <v>0.1</v>
      </c>
      <c r="M65">
        <v>8003.4</v>
      </c>
      <c r="N65">
        <v>88037.41</v>
      </c>
      <c r="O65" t="s">
        <v>20</v>
      </c>
    </row>
    <row r="66" spans="1:15" x14ac:dyDescent="0.35">
      <c r="A66" t="s">
        <v>116</v>
      </c>
      <c r="B66" s="2">
        <v>46247</v>
      </c>
      <c r="C66" t="s">
        <v>37</v>
      </c>
      <c r="D66" t="s">
        <v>38</v>
      </c>
      <c r="E66" t="s">
        <v>39</v>
      </c>
      <c r="F66" t="s">
        <v>40</v>
      </c>
      <c r="G66">
        <v>1</v>
      </c>
      <c r="H66">
        <v>154859.62</v>
      </c>
      <c r="I66">
        <v>0.15</v>
      </c>
      <c r="J66">
        <v>154859.62</v>
      </c>
      <c r="K66">
        <v>23228.94</v>
      </c>
      <c r="L66">
        <v>7.4999999999999997E-2</v>
      </c>
      <c r="M66">
        <v>9872.2999999999993</v>
      </c>
      <c r="N66">
        <v>141502.98000000001</v>
      </c>
      <c r="O66" t="s">
        <v>35</v>
      </c>
    </row>
    <row r="67" spans="1:15" x14ac:dyDescent="0.35">
      <c r="A67" t="s">
        <v>117</v>
      </c>
      <c r="B67" s="2">
        <v>46039</v>
      </c>
      <c r="C67" t="s">
        <v>42</v>
      </c>
      <c r="D67" t="s">
        <v>43</v>
      </c>
      <c r="E67" t="s">
        <v>44</v>
      </c>
      <c r="F67" t="s">
        <v>45</v>
      </c>
      <c r="G67">
        <v>2</v>
      </c>
      <c r="H67">
        <v>89217.54</v>
      </c>
      <c r="I67">
        <v>0</v>
      </c>
      <c r="J67">
        <v>178435.08</v>
      </c>
      <c r="K67">
        <v>0</v>
      </c>
      <c r="L67">
        <v>0.1</v>
      </c>
      <c r="M67">
        <v>17843.509999999998</v>
      </c>
      <c r="N67">
        <v>196278.59</v>
      </c>
      <c r="O67" t="s">
        <v>35</v>
      </c>
    </row>
    <row r="68" spans="1:15" x14ac:dyDescent="0.35">
      <c r="A68" t="s">
        <v>118</v>
      </c>
      <c r="B68" s="2">
        <v>46091</v>
      </c>
      <c r="C68" t="s">
        <v>47</v>
      </c>
      <c r="D68" t="s">
        <v>48</v>
      </c>
      <c r="E68" t="s">
        <v>49</v>
      </c>
      <c r="F68" t="s">
        <v>50</v>
      </c>
      <c r="G68">
        <v>7</v>
      </c>
      <c r="H68">
        <v>120029.11</v>
      </c>
      <c r="I68">
        <v>0</v>
      </c>
      <c r="J68">
        <v>840203.77</v>
      </c>
      <c r="K68">
        <v>0</v>
      </c>
      <c r="L68">
        <v>0.1</v>
      </c>
      <c r="M68">
        <v>84020.38</v>
      </c>
      <c r="N68">
        <v>924224.15</v>
      </c>
      <c r="O68" t="s">
        <v>35</v>
      </c>
    </row>
    <row r="69" spans="1:15" x14ac:dyDescent="0.35">
      <c r="A69" t="s">
        <v>119</v>
      </c>
      <c r="B69" s="2">
        <v>46241</v>
      </c>
      <c r="C69" t="s">
        <v>52</v>
      </c>
      <c r="D69" t="s">
        <v>53</v>
      </c>
      <c r="E69" t="s">
        <v>54</v>
      </c>
      <c r="F69" t="s">
        <v>50</v>
      </c>
      <c r="G69">
        <v>6</v>
      </c>
      <c r="H69">
        <v>104732.68</v>
      </c>
      <c r="I69">
        <v>0.15</v>
      </c>
      <c r="J69">
        <v>628396.07999999996</v>
      </c>
      <c r="K69">
        <v>94259.41</v>
      </c>
      <c r="L69">
        <v>7.4999999999999997E-2</v>
      </c>
      <c r="M69">
        <v>40060.25</v>
      </c>
      <c r="N69">
        <v>574196.92000000004</v>
      </c>
      <c r="O69" t="s">
        <v>35</v>
      </c>
    </row>
    <row r="70" spans="1:15" x14ac:dyDescent="0.35">
      <c r="A70" t="s">
        <v>120</v>
      </c>
      <c r="B70" s="2">
        <v>46112</v>
      </c>
      <c r="C70" t="s">
        <v>56</v>
      </c>
      <c r="D70" t="s">
        <v>57</v>
      </c>
      <c r="E70" t="s">
        <v>58</v>
      </c>
      <c r="F70" t="s">
        <v>19</v>
      </c>
      <c r="G70">
        <v>2</v>
      </c>
      <c r="H70">
        <v>23375.93</v>
      </c>
      <c r="I70">
        <v>0.1</v>
      </c>
      <c r="J70">
        <v>46751.86</v>
      </c>
      <c r="K70">
        <v>4675.1899999999996</v>
      </c>
      <c r="L70">
        <v>7.4999999999999997E-2</v>
      </c>
      <c r="M70">
        <v>3155.75</v>
      </c>
      <c r="N70">
        <v>45232.42</v>
      </c>
      <c r="O70" t="s">
        <v>35</v>
      </c>
    </row>
    <row r="71" spans="1:15" x14ac:dyDescent="0.35">
      <c r="A71" t="s">
        <v>121</v>
      </c>
      <c r="B71" s="2">
        <v>46084</v>
      </c>
      <c r="C71" t="s">
        <v>60</v>
      </c>
      <c r="D71" t="s">
        <v>61</v>
      </c>
      <c r="E71" t="s">
        <v>62</v>
      </c>
      <c r="F71" t="s">
        <v>19</v>
      </c>
      <c r="G71">
        <v>2</v>
      </c>
      <c r="H71">
        <v>221501.09</v>
      </c>
      <c r="I71">
        <v>0</v>
      </c>
      <c r="J71">
        <v>443002.18</v>
      </c>
      <c r="K71">
        <v>0</v>
      </c>
      <c r="L71">
        <v>0.1</v>
      </c>
      <c r="M71">
        <v>44300.22</v>
      </c>
      <c r="N71">
        <v>487302.40000000002</v>
      </c>
      <c r="O71" t="s">
        <v>25</v>
      </c>
    </row>
    <row r="72" spans="1:15" x14ac:dyDescent="0.35">
      <c r="A72" t="s">
        <v>122</v>
      </c>
      <c r="B72" s="2">
        <v>46080</v>
      </c>
      <c r="C72" t="s">
        <v>16</v>
      </c>
      <c r="D72" t="s">
        <v>17</v>
      </c>
      <c r="E72" t="s">
        <v>18</v>
      </c>
      <c r="F72" t="s">
        <v>19</v>
      </c>
      <c r="G72">
        <v>1</v>
      </c>
      <c r="H72">
        <v>601884.21</v>
      </c>
      <c r="I72">
        <v>0.05</v>
      </c>
      <c r="J72">
        <v>601884.21</v>
      </c>
      <c r="K72">
        <v>30094.21</v>
      </c>
      <c r="L72">
        <v>7.4999999999999997E-2</v>
      </c>
      <c r="M72">
        <v>42884.25</v>
      </c>
      <c r="N72">
        <v>614674.25</v>
      </c>
      <c r="O72" t="s">
        <v>35</v>
      </c>
    </row>
    <row r="73" spans="1:15" x14ac:dyDescent="0.35">
      <c r="A73" t="s">
        <v>123</v>
      </c>
      <c r="B73" s="2">
        <v>46262</v>
      </c>
      <c r="C73" t="s">
        <v>22</v>
      </c>
      <c r="D73" t="s">
        <v>23</v>
      </c>
      <c r="E73" t="s">
        <v>24</v>
      </c>
      <c r="F73" t="s">
        <v>19</v>
      </c>
      <c r="G73">
        <v>5</v>
      </c>
      <c r="H73">
        <v>18064.060000000001</v>
      </c>
      <c r="I73">
        <v>0</v>
      </c>
      <c r="J73">
        <v>90320.3</v>
      </c>
      <c r="K73">
        <v>0</v>
      </c>
      <c r="L73">
        <v>0.1</v>
      </c>
      <c r="M73">
        <v>9032.0300000000007</v>
      </c>
      <c r="N73">
        <v>99352.33</v>
      </c>
      <c r="O73" t="s">
        <v>25</v>
      </c>
    </row>
    <row r="74" spans="1:15" x14ac:dyDescent="0.35">
      <c r="A74" t="s">
        <v>124</v>
      </c>
      <c r="B74" s="2">
        <v>46142</v>
      </c>
      <c r="C74" t="s">
        <v>27</v>
      </c>
      <c r="D74" t="s">
        <v>28</v>
      </c>
      <c r="E74" t="s">
        <v>29</v>
      </c>
      <c r="F74" t="s">
        <v>30</v>
      </c>
      <c r="G74">
        <v>7</v>
      </c>
      <c r="H74">
        <v>88697.279999999999</v>
      </c>
      <c r="I74">
        <v>0</v>
      </c>
      <c r="J74">
        <v>620880.96</v>
      </c>
      <c r="K74">
        <v>0</v>
      </c>
      <c r="L74">
        <v>0.1</v>
      </c>
      <c r="M74">
        <v>62088.1</v>
      </c>
      <c r="N74">
        <v>682969.06</v>
      </c>
      <c r="O74" t="s">
        <v>35</v>
      </c>
    </row>
    <row r="75" spans="1:15" x14ac:dyDescent="0.35">
      <c r="A75" t="s">
        <v>125</v>
      </c>
      <c r="B75" s="2">
        <v>46039</v>
      </c>
      <c r="C75" t="s">
        <v>32</v>
      </c>
      <c r="D75" t="s">
        <v>33</v>
      </c>
      <c r="E75" t="s">
        <v>34</v>
      </c>
      <c r="F75" t="s">
        <v>30</v>
      </c>
      <c r="G75">
        <v>3</v>
      </c>
      <c r="H75">
        <v>12263.87</v>
      </c>
      <c r="I75">
        <v>0.15</v>
      </c>
      <c r="J75">
        <v>36791.61</v>
      </c>
      <c r="K75">
        <v>5518.74</v>
      </c>
      <c r="L75">
        <v>0.1</v>
      </c>
      <c r="M75">
        <v>3127.29</v>
      </c>
      <c r="N75">
        <v>34400.160000000003</v>
      </c>
      <c r="O75" t="s">
        <v>25</v>
      </c>
    </row>
    <row r="76" spans="1:15" x14ac:dyDescent="0.35">
      <c r="A76" t="s">
        <v>126</v>
      </c>
      <c r="B76" s="2">
        <v>46089</v>
      </c>
      <c r="C76" t="s">
        <v>37</v>
      </c>
      <c r="E76" t="s">
        <v>39</v>
      </c>
      <c r="F76" t="s">
        <v>40</v>
      </c>
      <c r="G76">
        <v>2</v>
      </c>
      <c r="H76">
        <v>145750.96</v>
      </c>
      <c r="I76">
        <v>0</v>
      </c>
      <c r="J76">
        <v>291501.92</v>
      </c>
      <c r="K76">
        <v>0</v>
      </c>
      <c r="L76">
        <v>0.1</v>
      </c>
      <c r="M76">
        <v>29150.19</v>
      </c>
      <c r="N76">
        <v>320652.11</v>
      </c>
      <c r="O76" t="s">
        <v>35</v>
      </c>
    </row>
    <row r="77" spans="1:15" x14ac:dyDescent="0.35">
      <c r="A77" t="s">
        <v>127</v>
      </c>
      <c r="B77" s="2">
        <v>46143</v>
      </c>
      <c r="C77" t="s">
        <v>42</v>
      </c>
      <c r="D77" t="s">
        <v>43</v>
      </c>
      <c r="E77" t="s">
        <v>44</v>
      </c>
      <c r="F77" t="s">
        <v>45</v>
      </c>
      <c r="G77">
        <v>2</v>
      </c>
      <c r="H77">
        <v>79267.009999999995</v>
      </c>
      <c r="I77">
        <v>0</v>
      </c>
      <c r="J77">
        <v>158534.01999999999</v>
      </c>
      <c r="K77">
        <v>0</v>
      </c>
      <c r="L77">
        <v>0.1</v>
      </c>
      <c r="M77">
        <v>15853.4</v>
      </c>
      <c r="N77">
        <v>174387.42</v>
      </c>
      <c r="O77" t="s">
        <v>35</v>
      </c>
    </row>
    <row r="78" spans="1:15" x14ac:dyDescent="0.35">
      <c r="A78" t="s">
        <v>128</v>
      </c>
      <c r="B78" s="2">
        <v>46084</v>
      </c>
      <c r="C78" t="s">
        <v>47</v>
      </c>
      <c r="D78" t="s">
        <v>48</v>
      </c>
      <c r="E78" t="s">
        <v>49</v>
      </c>
      <c r="F78" t="s">
        <v>50</v>
      </c>
      <c r="G78">
        <v>7</v>
      </c>
      <c r="H78">
        <v>123762.7</v>
      </c>
      <c r="I78">
        <v>0</v>
      </c>
      <c r="J78">
        <v>866338.9</v>
      </c>
      <c r="K78">
        <v>0</v>
      </c>
      <c r="L78">
        <v>7.4999999999999997E-2</v>
      </c>
      <c r="M78">
        <v>64975.42</v>
      </c>
      <c r="N78">
        <v>931314.32</v>
      </c>
      <c r="O78" t="s">
        <v>25</v>
      </c>
    </row>
    <row r="79" spans="1:15" x14ac:dyDescent="0.35">
      <c r="A79" t="s">
        <v>129</v>
      </c>
      <c r="B79" s="2">
        <v>46074</v>
      </c>
      <c r="C79" t="s">
        <v>52</v>
      </c>
      <c r="D79" t="s">
        <v>53</v>
      </c>
      <c r="E79" t="s">
        <v>54</v>
      </c>
      <c r="F79" t="s">
        <v>50</v>
      </c>
      <c r="G79">
        <v>7</v>
      </c>
      <c r="H79">
        <v>96003.89</v>
      </c>
      <c r="I79">
        <v>0.05</v>
      </c>
      <c r="J79">
        <v>672027.23</v>
      </c>
      <c r="K79">
        <v>33601.360000000001</v>
      </c>
      <c r="L79">
        <v>0.1</v>
      </c>
      <c r="M79">
        <v>63842.59</v>
      </c>
      <c r="N79">
        <v>702268.46</v>
      </c>
      <c r="O79" t="s">
        <v>35</v>
      </c>
    </row>
    <row r="80" spans="1:15" x14ac:dyDescent="0.35">
      <c r="A80" t="s">
        <v>130</v>
      </c>
      <c r="B80" s="2">
        <v>46257</v>
      </c>
      <c r="C80" t="s">
        <v>56</v>
      </c>
      <c r="D80" t="s">
        <v>57</v>
      </c>
      <c r="E80" t="s">
        <v>58</v>
      </c>
      <c r="F80" t="s">
        <v>19</v>
      </c>
      <c r="G80">
        <v>5</v>
      </c>
      <c r="H80">
        <v>24119.74</v>
      </c>
      <c r="I80">
        <v>0.15</v>
      </c>
      <c r="J80">
        <v>120598.7</v>
      </c>
      <c r="K80">
        <v>18089.8</v>
      </c>
      <c r="L80">
        <v>7.4999999999999997E-2</v>
      </c>
      <c r="M80">
        <v>7688.17</v>
      </c>
      <c r="N80">
        <v>110197.07</v>
      </c>
      <c r="O80" t="s">
        <v>20</v>
      </c>
    </row>
    <row r="81" spans="1:15" x14ac:dyDescent="0.35">
      <c r="A81" t="s">
        <v>131</v>
      </c>
      <c r="B81" s="2">
        <v>46102</v>
      </c>
      <c r="C81" t="s">
        <v>60</v>
      </c>
      <c r="D81" t="s">
        <v>61</v>
      </c>
      <c r="E81" t="s">
        <v>62</v>
      </c>
      <c r="F81" t="s">
        <v>19</v>
      </c>
      <c r="G81">
        <v>5</v>
      </c>
      <c r="H81">
        <v>223932.57</v>
      </c>
      <c r="I81">
        <v>0.1</v>
      </c>
      <c r="J81">
        <v>1119662.8500000001</v>
      </c>
      <c r="K81">
        <v>111966.29</v>
      </c>
      <c r="L81">
        <v>7.4999999999999997E-2</v>
      </c>
      <c r="M81">
        <v>75577.240000000005</v>
      </c>
      <c r="N81">
        <v>1083273.8</v>
      </c>
      <c r="O81" t="s">
        <v>20</v>
      </c>
    </row>
    <row r="82" spans="1:15" x14ac:dyDescent="0.35">
      <c r="A82" t="s">
        <v>132</v>
      </c>
      <c r="B82" s="2">
        <v>46232</v>
      </c>
      <c r="C82" t="s">
        <v>16</v>
      </c>
      <c r="D82" t="s">
        <v>17</v>
      </c>
      <c r="E82" t="s">
        <v>18</v>
      </c>
      <c r="F82" t="s">
        <v>19</v>
      </c>
      <c r="G82">
        <v>3</v>
      </c>
      <c r="H82">
        <v>676816</v>
      </c>
      <c r="I82">
        <v>0</v>
      </c>
      <c r="J82">
        <v>2030448</v>
      </c>
      <c r="K82">
        <v>0</v>
      </c>
      <c r="L82">
        <v>7.4999999999999997E-2</v>
      </c>
      <c r="M82">
        <v>152283.6</v>
      </c>
      <c r="N82">
        <v>2182731.6</v>
      </c>
      <c r="O82" t="s">
        <v>35</v>
      </c>
    </row>
    <row r="83" spans="1:15" x14ac:dyDescent="0.35">
      <c r="A83" t="s">
        <v>133</v>
      </c>
      <c r="B83" s="2">
        <v>46223</v>
      </c>
      <c r="C83" t="s">
        <v>22</v>
      </c>
      <c r="D83" t="s">
        <v>23</v>
      </c>
      <c r="E83" t="s">
        <v>24</v>
      </c>
      <c r="F83" t="s">
        <v>19</v>
      </c>
      <c r="G83">
        <v>7</v>
      </c>
      <c r="H83">
        <v>16677.3</v>
      </c>
      <c r="I83">
        <v>0.05</v>
      </c>
      <c r="J83">
        <v>116741.1</v>
      </c>
      <c r="K83">
        <v>5837.06</v>
      </c>
      <c r="L83">
        <v>0.1</v>
      </c>
      <c r="M83">
        <v>11090.4</v>
      </c>
      <c r="N83">
        <v>121994.44</v>
      </c>
      <c r="O83" t="s">
        <v>35</v>
      </c>
    </row>
    <row r="84" spans="1:15" x14ac:dyDescent="0.35">
      <c r="A84" t="s">
        <v>134</v>
      </c>
      <c r="B84" s="2">
        <v>46126</v>
      </c>
      <c r="C84" t="s">
        <v>27</v>
      </c>
      <c r="D84" t="s">
        <v>28</v>
      </c>
      <c r="E84" t="s">
        <v>29</v>
      </c>
      <c r="F84" t="s">
        <v>30</v>
      </c>
      <c r="G84">
        <v>2</v>
      </c>
      <c r="H84">
        <v>99003.14</v>
      </c>
      <c r="I84">
        <v>0</v>
      </c>
      <c r="J84">
        <v>198006.28</v>
      </c>
      <c r="K84">
        <v>0</v>
      </c>
      <c r="L84">
        <v>7.4999999999999997E-2</v>
      </c>
      <c r="M84">
        <v>14850.47</v>
      </c>
      <c r="N84">
        <v>212856.75</v>
      </c>
      <c r="O84" t="s">
        <v>35</v>
      </c>
    </row>
    <row r="85" spans="1:15" x14ac:dyDescent="0.35">
      <c r="A85" t="s">
        <v>135</v>
      </c>
      <c r="B85" s="2">
        <v>46095</v>
      </c>
      <c r="C85" t="s">
        <v>32</v>
      </c>
      <c r="D85" t="s">
        <v>33</v>
      </c>
      <c r="E85" t="s">
        <v>34</v>
      </c>
      <c r="F85" t="s">
        <v>30</v>
      </c>
      <c r="G85">
        <v>6</v>
      </c>
      <c r="H85">
        <v>12287.57</v>
      </c>
      <c r="I85">
        <v>0.05</v>
      </c>
      <c r="J85">
        <v>73725.42</v>
      </c>
      <c r="K85">
        <v>3686.27</v>
      </c>
      <c r="L85">
        <v>0.1</v>
      </c>
      <c r="M85">
        <v>7003.92</v>
      </c>
      <c r="N85">
        <v>77043.070000000007</v>
      </c>
      <c r="O85" t="s">
        <v>25</v>
      </c>
    </row>
    <row r="86" spans="1:15" x14ac:dyDescent="0.35">
      <c r="A86" t="s">
        <v>136</v>
      </c>
      <c r="B86" s="2">
        <v>46212</v>
      </c>
      <c r="C86" t="s">
        <v>37</v>
      </c>
      <c r="D86" t="s">
        <v>38</v>
      </c>
      <c r="E86" t="s">
        <v>39</v>
      </c>
      <c r="F86" t="s">
        <v>40</v>
      </c>
      <c r="G86">
        <v>4</v>
      </c>
      <c r="H86">
        <v>146990.70000000001</v>
      </c>
      <c r="I86">
        <v>0.05</v>
      </c>
      <c r="J86">
        <v>587962.80000000005</v>
      </c>
      <c r="K86">
        <v>29398.14</v>
      </c>
      <c r="L86">
        <v>7.4999999999999997E-2</v>
      </c>
      <c r="M86">
        <v>41892.35</v>
      </c>
      <c r="N86">
        <v>600457.01</v>
      </c>
      <c r="O86" t="s">
        <v>35</v>
      </c>
    </row>
    <row r="87" spans="1:15" x14ac:dyDescent="0.35">
      <c r="A87" t="s">
        <v>137</v>
      </c>
      <c r="B87" s="2">
        <v>46106</v>
      </c>
      <c r="C87" t="s">
        <v>42</v>
      </c>
      <c r="D87" t="s">
        <v>43</v>
      </c>
      <c r="E87" t="s">
        <v>44</v>
      </c>
      <c r="F87" t="s">
        <v>45</v>
      </c>
      <c r="G87">
        <v>5</v>
      </c>
      <c r="H87">
        <v>87501.91</v>
      </c>
      <c r="I87">
        <v>0.15</v>
      </c>
      <c r="J87">
        <v>437509.55</v>
      </c>
      <c r="K87">
        <v>65626.429999999993</v>
      </c>
      <c r="L87">
        <v>0.1</v>
      </c>
      <c r="M87">
        <v>37188.31</v>
      </c>
      <c r="N87">
        <v>409071.43</v>
      </c>
      <c r="O87" t="s">
        <v>20</v>
      </c>
    </row>
    <row r="88" spans="1:15" x14ac:dyDescent="0.35">
      <c r="A88" t="s">
        <v>138</v>
      </c>
      <c r="B88" s="2">
        <v>46110</v>
      </c>
      <c r="C88" t="s">
        <v>47</v>
      </c>
      <c r="D88" t="s">
        <v>48</v>
      </c>
      <c r="E88" t="s">
        <v>49</v>
      </c>
      <c r="F88" t="s">
        <v>50</v>
      </c>
      <c r="G88">
        <v>1</v>
      </c>
      <c r="H88">
        <v>127050.22</v>
      </c>
      <c r="I88">
        <v>0.15</v>
      </c>
      <c r="J88">
        <v>127050.22</v>
      </c>
      <c r="K88">
        <v>19057.53</v>
      </c>
      <c r="L88">
        <v>7.4999999999999997E-2</v>
      </c>
      <c r="M88">
        <v>8099.45</v>
      </c>
      <c r="N88">
        <v>116092.14</v>
      </c>
      <c r="O88" t="s">
        <v>20</v>
      </c>
    </row>
    <row r="89" spans="1:15" x14ac:dyDescent="0.35">
      <c r="A89" t="s">
        <v>139</v>
      </c>
      <c r="B89" s="2">
        <v>46215</v>
      </c>
      <c r="C89" t="s">
        <v>52</v>
      </c>
      <c r="D89" t="s">
        <v>53</v>
      </c>
      <c r="E89" t="s">
        <v>54</v>
      </c>
      <c r="F89" t="s">
        <v>50</v>
      </c>
      <c r="G89">
        <v>2</v>
      </c>
      <c r="H89">
        <v>101173.87</v>
      </c>
      <c r="I89">
        <v>0</v>
      </c>
      <c r="J89">
        <v>202347.74</v>
      </c>
      <c r="K89">
        <v>0</v>
      </c>
      <c r="L89">
        <v>7.4999999999999997E-2</v>
      </c>
      <c r="M89">
        <v>15176.08</v>
      </c>
      <c r="N89">
        <v>217523.82</v>
      </c>
      <c r="O89" t="s">
        <v>35</v>
      </c>
    </row>
    <row r="90" spans="1:15" x14ac:dyDescent="0.35">
      <c r="A90" t="s">
        <v>140</v>
      </c>
      <c r="B90" s="2">
        <v>46194</v>
      </c>
      <c r="C90" t="s">
        <v>56</v>
      </c>
      <c r="D90" t="s">
        <v>57</v>
      </c>
      <c r="E90" t="s">
        <v>58</v>
      </c>
      <c r="F90" t="s">
        <v>19</v>
      </c>
      <c r="G90">
        <v>5</v>
      </c>
      <c r="H90">
        <v>25503.759999999998</v>
      </c>
      <c r="I90">
        <v>0</v>
      </c>
      <c r="J90">
        <v>127518.8</v>
      </c>
      <c r="K90">
        <v>0</v>
      </c>
      <c r="L90">
        <v>7.4999999999999997E-2</v>
      </c>
      <c r="M90">
        <v>9563.91</v>
      </c>
      <c r="N90">
        <v>137082.71</v>
      </c>
      <c r="O90" t="s">
        <v>25</v>
      </c>
    </row>
    <row r="91" spans="1:15" x14ac:dyDescent="0.35">
      <c r="A91" t="s">
        <v>141</v>
      </c>
      <c r="B91" s="2">
        <v>46072</v>
      </c>
      <c r="C91" t="s">
        <v>60</v>
      </c>
      <c r="D91" t="s">
        <v>61</v>
      </c>
      <c r="E91" t="s">
        <v>62</v>
      </c>
      <c r="F91" t="s">
        <v>19</v>
      </c>
      <c r="G91">
        <v>4</v>
      </c>
      <c r="H91">
        <v>212043.43</v>
      </c>
      <c r="I91">
        <v>0.15</v>
      </c>
      <c r="J91">
        <v>848173.72</v>
      </c>
      <c r="K91">
        <v>127226.06</v>
      </c>
      <c r="L91">
        <v>7.4999999999999997E-2</v>
      </c>
      <c r="M91">
        <v>54071.07</v>
      </c>
      <c r="N91">
        <v>775018.73</v>
      </c>
      <c r="O91" t="s">
        <v>35</v>
      </c>
    </row>
    <row r="92" spans="1:15" x14ac:dyDescent="0.35">
      <c r="A92" t="s">
        <v>142</v>
      </c>
      <c r="B92" s="2">
        <v>46116</v>
      </c>
      <c r="C92" t="s">
        <v>16</v>
      </c>
      <c r="D92" t="s">
        <v>17</v>
      </c>
      <c r="E92" t="s">
        <v>18</v>
      </c>
      <c r="F92" t="s">
        <v>19</v>
      </c>
      <c r="G92">
        <v>3</v>
      </c>
      <c r="H92">
        <v>662298.4</v>
      </c>
      <c r="I92">
        <v>0.1</v>
      </c>
      <c r="J92">
        <v>1986895.2</v>
      </c>
      <c r="K92">
        <v>198689.52</v>
      </c>
      <c r="L92">
        <v>7.4999999999999997E-2</v>
      </c>
      <c r="M92">
        <v>134115.43</v>
      </c>
      <c r="N92">
        <v>1922321.11</v>
      </c>
      <c r="O92" t="s">
        <v>35</v>
      </c>
    </row>
    <row r="93" spans="1:15" x14ac:dyDescent="0.35">
      <c r="A93" t="s">
        <v>143</v>
      </c>
      <c r="B93" s="2">
        <v>46141</v>
      </c>
      <c r="C93" t="s">
        <v>22</v>
      </c>
      <c r="D93" t="s">
        <v>23</v>
      </c>
      <c r="E93" t="s">
        <v>24</v>
      </c>
      <c r="F93" t="s">
        <v>19</v>
      </c>
      <c r="G93">
        <v>2</v>
      </c>
      <c r="H93">
        <v>18523.05</v>
      </c>
      <c r="I93">
        <v>0.05</v>
      </c>
      <c r="J93">
        <v>37046.1</v>
      </c>
      <c r="K93">
        <v>1852.3</v>
      </c>
      <c r="L93">
        <v>0.1</v>
      </c>
      <c r="M93">
        <v>3519.38</v>
      </c>
      <c r="N93">
        <v>38713.18</v>
      </c>
      <c r="O93" t="s">
        <v>35</v>
      </c>
    </row>
    <row r="94" spans="1:15" x14ac:dyDescent="0.35">
      <c r="A94" t="s">
        <v>144</v>
      </c>
      <c r="B94" s="2">
        <v>46101</v>
      </c>
      <c r="C94" t="s">
        <v>27</v>
      </c>
      <c r="D94" t="s">
        <v>28</v>
      </c>
      <c r="E94" t="s">
        <v>29</v>
      </c>
      <c r="F94" t="s">
        <v>30</v>
      </c>
      <c r="G94">
        <v>4</v>
      </c>
      <c r="H94">
        <v>97931.93</v>
      </c>
      <c r="I94">
        <v>0.05</v>
      </c>
      <c r="J94">
        <v>391727.72</v>
      </c>
      <c r="K94">
        <v>19586.39</v>
      </c>
      <c r="L94">
        <v>7.4999999999999997E-2</v>
      </c>
      <c r="M94">
        <v>27910.6</v>
      </c>
      <c r="N94">
        <v>400051.93</v>
      </c>
      <c r="O94" t="s">
        <v>25</v>
      </c>
    </row>
    <row r="95" spans="1:15" x14ac:dyDescent="0.35">
      <c r="A95" t="s">
        <v>145</v>
      </c>
      <c r="B95" s="2">
        <v>46190</v>
      </c>
      <c r="C95" t="s">
        <v>32</v>
      </c>
      <c r="D95" t="s">
        <v>33</v>
      </c>
      <c r="E95" t="s">
        <v>34</v>
      </c>
      <c r="F95" t="s">
        <v>30</v>
      </c>
      <c r="G95">
        <v>4</v>
      </c>
      <c r="H95">
        <v>11842.46</v>
      </c>
      <c r="I95">
        <v>0</v>
      </c>
      <c r="J95">
        <v>47369.84</v>
      </c>
      <c r="K95">
        <v>0</v>
      </c>
      <c r="L95">
        <v>7.4999999999999997E-2</v>
      </c>
      <c r="M95">
        <v>3552.74</v>
      </c>
      <c r="N95">
        <v>50922.58</v>
      </c>
      <c r="O95" t="s">
        <v>35</v>
      </c>
    </row>
    <row r="96" spans="1:15" x14ac:dyDescent="0.35">
      <c r="A96" t="s">
        <v>146</v>
      </c>
      <c r="B96" s="2">
        <v>46125</v>
      </c>
      <c r="C96" t="s">
        <v>37</v>
      </c>
      <c r="D96" t="s">
        <v>38</v>
      </c>
      <c r="E96" t="s">
        <v>39</v>
      </c>
      <c r="F96" t="s">
        <v>40</v>
      </c>
      <c r="G96">
        <v>1</v>
      </c>
      <c r="H96">
        <v>151644.49</v>
      </c>
      <c r="I96">
        <v>0.1</v>
      </c>
      <c r="J96">
        <v>151644.49</v>
      </c>
      <c r="K96">
        <v>15164.45</v>
      </c>
      <c r="L96">
        <v>7.4999999999999997E-2</v>
      </c>
      <c r="M96">
        <v>10236</v>
      </c>
      <c r="N96">
        <v>146716.04</v>
      </c>
      <c r="O96" t="s">
        <v>35</v>
      </c>
    </row>
    <row r="97" spans="1:15" x14ac:dyDescent="0.35">
      <c r="A97" t="s">
        <v>147</v>
      </c>
      <c r="B97" s="2">
        <v>46177</v>
      </c>
      <c r="C97" t="s">
        <v>42</v>
      </c>
      <c r="D97" t="s">
        <v>43</v>
      </c>
      <c r="E97" t="s">
        <v>44</v>
      </c>
      <c r="F97" t="s">
        <v>45</v>
      </c>
      <c r="G97">
        <v>2</v>
      </c>
      <c r="H97">
        <v>81600.22</v>
      </c>
      <c r="I97">
        <v>0.15</v>
      </c>
      <c r="J97">
        <v>163200.44</v>
      </c>
      <c r="K97">
        <v>24480.07</v>
      </c>
      <c r="L97">
        <v>0.1</v>
      </c>
      <c r="M97">
        <v>13872.04</v>
      </c>
      <c r="N97">
        <v>152592.41</v>
      </c>
      <c r="O97" t="s">
        <v>25</v>
      </c>
    </row>
    <row r="98" spans="1:15" x14ac:dyDescent="0.35">
      <c r="A98" t="s">
        <v>148</v>
      </c>
      <c r="B98" s="2">
        <v>46049</v>
      </c>
      <c r="C98" t="s">
        <v>47</v>
      </c>
      <c r="D98" t="s">
        <v>48</v>
      </c>
      <c r="E98" t="s">
        <v>49</v>
      </c>
      <c r="F98" t="s">
        <v>50</v>
      </c>
      <c r="G98">
        <v>5</v>
      </c>
      <c r="H98">
        <v>114981.06</v>
      </c>
      <c r="I98">
        <v>0.1</v>
      </c>
      <c r="J98">
        <v>574905.30000000005</v>
      </c>
      <c r="K98">
        <v>57490.53</v>
      </c>
      <c r="L98">
        <v>7.4999999999999997E-2</v>
      </c>
      <c r="M98">
        <v>38806.11</v>
      </c>
      <c r="N98">
        <v>556220.88</v>
      </c>
      <c r="O98" t="s">
        <v>20</v>
      </c>
    </row>
    <row r="99" spans="1:15" x14ac:dyDescent="0.35">
      <c r="A99" t="s">
        <v>149</v>
      </c>
      <c r="B99" s="2">
        <v>46110</v>
      </c>
      <c r="C99" t="s">
        <v>52</v>
      </c>
      <c r="D99" t="s">
        <v>53</v>
      </c>
      <c r="E99" t="s">
        <v>54</v>
      </c>
      <c r="F99" t="s">
        <v>50</v>
      </c>
      <c r="G99">
        <v>1</v>
      </c>
      <c r="H99">
        <v>98043.66</v>
      </c>
      <c r="I99">
        <v>0</v>
      </c>
      <c r="J99">
        <v>98043.66</v>
      </c>
      <c r="K99">
        <v>0</v>
      </c>
      <c r="L99">
        <v>0.1</v>
      </c>
      <c r="M99">
        <v>9804.3700000000008</v>
      </c>
      <c r="N99">
        <v>107848.03</v>
      </c>
      <c r="O99" t="s">
        <v>20</v>
      </c>
    </row>
    <row r="100" spans="1:15" x14ac:dyDescent="0.35">
      <c r="A100" t="s">
        <v>150</v>
      </c>
      <c r="B100" s="2">
        <v>46126</v>
      </c>
      <c r="C100" t="s">
        <v>56</v>
      </c>
      <c r="D100" t="s">
        <v>57</v>
      </c>
      <c r="E100" t="s">
        <v>58</v>
      </c>
      <c r="F100" t="s">
        <v>19</v>
      </c>
      <c r="G100">
        <v>6</v>
      </c>
      <c r="H100">
        <v>24190.54</v>
      </c>
      <c r="I100">
        <v>0.1</v>
      </c>
      <c r="J100">
        <v>145143.24</v>
      </c>
      <c r="K100">
        <v>14514.32</v>
      </c>
      <c r="L100">
        <v>7.4999999999999997E-2</v>
      </c>
      <c r="M100">
        <v>9797.17</v>
      </c>
      <c r="N100">
        <v>140426.09</v>
      </c>
      <c r="O100" t="s">
        <v>35</v>
      </c>
    </row>
    <row r="101" spans="1:15" x14ac:dyDescent="0.35">
      <c r="A101" t="s">
        <v>151</v>
      </c>
      <c r="B101" s="2">
        <v>46054</v>
      </c>
      <c r="C101" t="s">
        <v>60</v>
      </c>
      <c r="D101" t="s">
        <v>61</v>
      </c>
      <c r="E101" t="s">
        <v>62</v>
      </c>
      <c r="F101" t="s">
        <v>19</v>
      </c>
      <c r="G101">
        <v>1</v>
      </c>
      <c r="H101">
        <v>232219.44</v>
      </c>
      <c r="I101">
        <v>0</v>
      </c>
      <c r="J101">
        <v>232219.44</v>
      </c>
      <c r="K101">
        <v>0</v>
      </c>
      <c r="L101">
        <v>7.4999999999999997E-2</v>
      </c>
      <c r="M101">
        <v>17416.46</v>
      </c>
      <c r="N101">
        <v>249635.9</v>
      </c>
      <c r="O101" t="s">
        <v>25</v>
      </c>
    </row>
    <row r="102" spans="1:15" x14ac:dyDescent="0.35">
      <c r="A102" t="s">
        <v>152</v>
      </c>
      <c r="B102" s="2">
        <v>46143</v>
      </c>
      <c r="C102" t="s">
        <v>16</v>
      </c>
      <c r="D102" t="s">
        <v>17</v>
      </c>
      <c r="E102" t="s">
        <v>18</v>
      </c>
      <c r="F102" t="s">
        <v>19</v>
      </c>
      <c r="G102">
        <v>4</v>
      </c>
      <c r="H102">
        <v>657637.54</v>
      </c>
      <c r="I102">
        <v>0.1</v>
      </c>
      <c r="J102">
        <v>2630550.16</v>
      </c>
      <c r="K102">
        <v>263055.02</v>
      </c>
      <c r="L102">
        <v>0.1</v>
      </c>
      <c r="M102">
        <v>236749.51</v>
      </c>
      <c r="N102">
        <v>2604244.65</v>
      </c>
      <c r="O102" t="s">
        <v>35</v>
      </c>
    </row>
    <row r="103" spans="1:15" x14ac:dyDescent="0.35">
      <c r="A103" t="s">
        <v>153</v>
      </c>
      <c r="B103" s="2">
        <v>46254</v>
      </c>
      <c r="C103" t="s">
        <v>22</v>
      </c>
      <c r="D103" t="s">
        <v>23</v>
      </c>
      <c r="E103" t="s">
        <v>24</v>
      </c>
      <c r="F103" t="s">
        <v>19</v>
      </c>
      <c r="G103">
        <v>4</v>
      </c>
      <c r="H103">
        <v>17506.55</v>
      </c>
      <c r="I103">
        <v>0.1</v>
      </c>
      <c r="J103">
        <v>70026.2</v>
      </c>
      <c r="K103">
        <v>7002.62</v>
      </c>
      <c r="L103">
        <v>7.4999999999999997E-2</v>
      </c>
      <c r="M103">
        <v>4726.7700000000004</v>
      </c>
      <c r="N103">
        <v>67750.350000000006</v>
      </c>
      <c r="O103" t="s">
        <v>25</v>
      </c>
    </row>
    <row r="104" spans="1:15" x14ac:dyDescent="0.35">
      <c r="A104" t="s">
        <v>154</v>
      </c>
      <c r="B104" s="2">
        <v>46212</v>
      </c>
      <c r="C104" t="s">
        <v>27</v>
      </c>
      <c r="D104" t="s">
        <v>28</v>
      </c>
      <c r="E104" t="s">
        <v>29</v>
      </c>
      <c r="F104" t="s">
        <v>30</v>
      </c>
      <c r="G104">
        <v>1</v>
      </c>
      <c r="H104">
        <v>89124.66</v>
      </c>
      <c r="I104">
        <v>0</v>
      </c>
      <c r="J104">
        <v>89124.66</v>
      </c>
      <c r="K104">
        <v>0</v>
      </c>
      <c r="L104">
        <v>0.1</v>
      </c>
      <c r="M104">
        <v>8912.4699999999993</v>
      </c>
      <c r="N104">
        <v>98037.13</v>
      </c>
      <c r="O104" t="s">
        <v>35</v>
      </c>
    </row>
    <row r="105" spans="1:15" x14ac:dyDescent="0.35">
      <c r="A105" t="s">
        <v>155</v>
      </c>
      <c r="B105" s="2">
        <v>46247</v>
      </c>
      <c r="C105" t="s">
        <v>32</v>
      </c>
      <c r="D105" t="s">
        <v>33</v>
      </c>
      <c r="E105" t="s">
        <v>34</v>
      </c>
      <c r="F105" t="s">
        <v>30</v>
      </c>
      <c r="G105">
        <v>7</v>
      </c>
      <c r="H105">
        <v>11147.27</v>
      </c>
      <c r="I105">
        <v>0.1</v>
      </c>
      <c r="J105">
        <v>78030.89</v>
      </c>
      <c r="K105">
        <v>7803.09</v>
      </c>
      <c r="L105">
        <v>7.4999999999999997E-2</v>
      </c>
      <c r="M105">
        <v>5267.08</v>
      </c>
      <c r="N105">
        <v>75494.880000000005</v>
      </c>
      <c r="O105" t="s">
        <v>35</v>
      </c>
    </row>
    <row r="106" spans="1:15" x14ac:dyDescent="0.35">
      <c r="A106" t="s">
        <v>156</v>
      </c>
      <c r="B106" s="2">
        <v>46212</v>
      </c>
      <c r="C106" t="s">
        <v>37</v>
      </c>
      <c r="D106" t="s">
        <v>38</v>
      </c>
      <c r="E106" t="s">
        <v>39</v>
      </c>
      <c r="F106" t="s">
        <v>40</v>
      </c>
      <c r="G106">
        <v>2</v>
      </c>
      <c r="H106">
        <v>161247.65</v>
      </c>
      <c r="I106">
        <v>0</v>
      </c>
      <c r="J106">
        <v>322495.3</v>
      </c>
      <c r="K106">
        <v>0</v>
      </c>
      <c r="L106">
        <v>0.1</v>
      </c>
      <c r="M106">
        <v>32249.53</v>
      </c>
      <c r="N106">
        <v>354744.83</v>
      </c>
      <c r="O106" t="s">
        <v>20</v>
      </c>
    </row>
    <row r="107" spans="1:15" x14ac:dyDescent="0.35">
      <c r="A107" t="s">
        <v>157</v>
      </c>
      <c r="B107" s="2">
        <v>46194</v>
      </c>
      <c r="C107" t="s">
        <v>42</v>
      </c>
      <c r="D107" t="s">
        <v>43</v>
      </c>
      <c r="E107" t="s">
        <v>44</v>
      </c>
      <c r="F107" t="s">
        <v>45</v>
      </c>
      <c r="G107">
        <v>5</v>
      </c>
      <c r="H107">
        <v>89603.34</v>
      </c>
      <c r="I107">
        <v>0.05</v>
      </c>
      <c r="J107">
        <v>448016.7</v>
      </c>
      <c r="K107">
        <v>22400.84</v>
      </c>
      <c r="L107">
        <v>7.4999999999999997E-2</v>
      </c>
      <c r="M107">
        <v>31921.19</v>
      </c>
      <c r="N107">
        <v>457537.05</v>
      </c>
      <c r="O107" t="s">
        <v>35</v>
      </c>
    </row>
    <row r="108" spans="1:15" x14ac:dyDescent="0.35">
      <c r="A108" t="s">
        <v>158</v>
      </c>
      <c r="B108" s="2">
        <v>46055</v>
      </c>
      <c r="C108" t="s">
        <v>47</v>
      </c>
      <c r="D108" t="s">
        <v>48</v>
      </c>
      <c r="E108" t="s">
        <v>49</v>
      </c>
      <c r="F108" t="s">
        <v>50</v>
      </c>
      <c r="G108">
        <v>2</v>
      </c>
      <c r="H108">
        <v>127524.42</v>
      </c>
      <c r="I108">
        <v>0.05</v>
      </c>
      <c r="J108">
        <v>255048.84</v>
      </c>
      <c r="K108">
        <v>12752.44</v>
      </c>
      <c r="L108">
        <v>7.4999999999999997E-2</v>
      </c>
      <c r="M108">
        <v>18172.23</v>
      </c>
      <c r="N108">
        <v>260468.63</v>
      </c>
      <c r="O108" t="s">
        <v>35</v>
      </c>
    </row>
    <row r="109" spans="1:15" x14ac:dyDescent="0.35">
      <c r="A109" t="s">
        <v>159</v>
      </c>
      <c r="B109" s="2">
        <v>46112</v>
      </c>
      <c r="C109" t="s">
        <v>52</v>
      </c>
      <c r="D109" t="s">
        <v>53</v>
      </c>
      <c r="E109" t="s">
        <v>54</v>
      </c>
      <c r="F109" t="s">
        <v>50</v>
      </c>
      <c r="G109">
        <v>3</v>
      </c>
      <c r="H109">
        <v>101300.89</v>
      </c>
      <c r="I109">
        <v>0</v>
      </c>
      <c r="J109">
        <v>303902.67</v>
      </c>
      <c r="K109">
        <v>0</v>
      </c>
      <c r="L109">
        <v>7.4999999999999997E-2</v>
      </c>
      <c r="M109">
        <v>22792.7</v>
      </c>
      <c r="N109">
        <v>326695.37</v>
      </c>
      <c r="O109" t="s">
        <v>20</v>
      </c>
    </row>
    <row r="110" spans="1:15" x14ac:dyDescent="0.35">
      <c r="A110" t="s">
        <v>160</v>
      </c>
      <c r="B110" s="2">
        <v>46062</v>
      </c>
      <c r="C110" t="s">
        <v>56</v>
      </c>
      <c r="D110" t="s">
        <v>57</v>
      </c>
      <c r="E110" t="s">
        <v>58</v>
      </c>
      <c r="F110" t="s">
        <v>19</v>
      </c>
      <c r="G110">
        <v>7</v>
      </c>
      <c r="H110">
        <v>26630.77</v>
      </c>
      <c r="I110">
        <v>0</v>
      </c>
      <c r="J110">
        <v>186415.39</v>
      </c>
      <c r="K110">
        <v>0</v>
      </c>
      <c r="L110">
        <v>0.1</v>
      </c>
      <c r="M110">
        <v>18641.54</v>
      </c>
      <c r="N110">
        <v>205056.93</v>
      </c>
      <c r="O110" t="s">
        <v>35</v>
      </c>
    </row>
    <row r="111" spans="1:15" x14ac:dyDescent="0.35">
      <c r="A111" t="s">
        <v>161</v>
      </c>
      <c r="B111" s="2">
        <v>46193</v>
      </c>
      <c r="C111" t="s">
        <v>60</v>
      </c>
      <c r="D111" t="s">
        <v>61</v>
      </c>
      <c r="E111" t="s">
        <v>62</v>
      </c>
      <c r="F111" t="s">
        <v>19</v>
      </c>
      <c r="G111">
        <v>7</v>
      </c>
      <c r="H111">
        <v>219354.68</v>
      </c>
      <c r="I111">
        <v>0.15</v>
      </c>
      <c r="J111">
        <v>1535482.76</v>
      </c>
      <c r="K111">
        <v>230322.41</v>
      </c>
      <c r="L111">
        <v>0.1</v>
      </c>
      <c r="M111">
        <v>130516.04</v>
      </c>
      <c r="N111">
        <v>1435676.39</v>
      </c>
      <c r="O111" t="s">
        <v>35</v>
      </c>
    </row>
    <row r="112" spans="1:15" x14ac:dyDescent="0.35">
      <c r="A112" t="s">
        <v>162</v>
      </c>
      <c r="B112" s="2">
        <v>46199</v>
      </c>
      <c r="C112" t="s">
        <v>16</v>
      </c>
      <c r="D112" t="s">
        <v>17</v>
      </c>
      <c r="E112" t="s">
        <v>18</v>
      </c>
      <c r="F112" t="s">
        <v>19</v>
      </c>
      <c r="G112">
        <v>2</v>
      </c>
      <c r="H112">
        <v>632346.26</v>
      </c>
      <c r="I112">
        <v>0.05</v>
      </c>
      <c r="J112">
        <v>1264692.52</v>
      </c>
      <c r="K112">
        <v>63234.63</v>
      </c>
      <c r="L112">
        <v>7.4999999999999997E-2</v>
      </c>
      <c r="M112">
        <v>90109.34</v>
      </c>
      <c r="N112">
        <v>1291567.23</v>
      </c>
      <c r="O112" t="s">
        <v>35</v>
      </c>
    </row>
    <row r="113" spans="1:15" x14ac:dyDescent="0.35">
      <c r="A113" t="s">
        <v>163</v>
      </c>
      <c r="B113" s="2">
        <v>46226</v>
      </c>
      <c r="C113" t="s">
        <v>22</v>
      </c>
      <c r="D113" t="s">
        <v>23</v>
      </c>
      <c r="E113" t="s">
        <v>24</v>
      </c>
      <c r="F113" t="s">
        <v>19</v>
      </c>
      <c r="G113">
        <v>4</v>
      </c>
      <c r="H113">
        <v>18205.84</v>
      </c>
      <c r="I113">
        <v>0.15</v>
      </c>
      <c r="J113">
        <v>72823.360000000001</v>
      </c>
      <c r="K113">
        <v>10923.5</v>
      </c>
      <c r="L113">
        <v>0.1</v>
      </c>
      <c r="M113">
        <v>6189.99</v>
      </c>
      <c r="N113">
        <v>68089.850000000006</v>
      </c>
      <c r="O113" t="s">
        <v>35</v>
      </c>
    </row>
    <row r="114" spans="1:15" x14ac:dyDescent="0.35">
      <c r="A114" t="s">
        <v>164</v>
      </c>
      <c r="B114" s="2">
        <v>46118</v>
      </c>
      <c r="C114" t="s">
        <v>27</v>
      </c>
      <c r="D114" t="s">
        <v>28</v>
      </c>
      <c r="E114" t="s">
        <v>29</v>
      </c>
      <c r="F114" t="s">
        <v>30</v>
      </c>
      <c r="G114">
        <v>1</v>
      </c>
      <c r="H114">
        <v>98712.02</v>
      </c>
      <c r="I114">
        <v>0.1</v>
      </c>
      <c r="J114">
        <v>98712.02</v>
      </c>
      <c r="K114">
        <v>9871.2000000000007</v>
      </c>
      <c r="L114">
        <v>7.4999999999999997E-2</v>
      </c>
      <c r="M114">
        <v>6663.06</v>
      </c>
      <c r="N114">
        <v>95503.88</v>
      </c>
      <c r="O114" t="s">
        <v>25</v>
      </c>
    </row>
    <row r="115" spans="1:15" x14ac:dyDescent="0.35">
      <c r="A115" t="s">
        <v>165</v>
      </c>
      <c r="B115" s="2">
        <v>46187</v>
      </c>
      <c r="C115" t="s">
        <v>32</v>
      </c>
      <c r="D115" t="s">
        <v>33</v>
      </c>
      <c r="E115" t="s">
        <v>34</v>
      </c>
      <c r="F115" t="s">
        <v>30</v>
      </c>
      <c r="G115">
        <v>7</v>
      </c>
      <c r="H115">
        <v>11957.21</v>
      </c>
      <c r="I115">
        <v>0</v>
      </c>
      <c r="J115">
        <v>83700.47</v>
      </c>
      <c r="K115">
        <v>0</v>
      </c>
      <c r="L115">
        <v>0.1</v>
      </c>
      <c r="M115">
        <v>8370.0499999999993</v>
      </c>
      <c r="N115">
        <v>92070.52</v>
      </c>
      <c r="O115" t="s">
        <v>35</v>
      </c>
    </row>
    <row r="116" spans="1:15" x14ac:dyDescent="0.35">
      <c r="A116" t="s">
        <v>166</v>
      </c>
      <c r="B116" s="2">
        <v>46199</v>
      </c>
      <c r="C116" t="s">
        <v>37</v>
      </c>
      <c r="D116" t="s">
        <v>38</v>
      </c>
      <c r="E116" t="s">
        <v>39</v>
      </c>
      <c r="F116" t="s">
        <v>40</v>
      </c>
      <c r="G116">
        <v>6</v>
      </c>
      <c r="H116">
        <v>157250.62</v>
      </c>
      <c r="I116">
        <v>0</v>
      </c>
      <c r="J116">
        <v>943503.72</v>
      </c>
      <c r="K116">
        <v>0</v>
      </c>
      <c r="L116">
        <v>0.1</v>
      </c>
      <c r="M116">
        <v>94350.37</v>
      </c>
      <c r="N116">
        <v>1037854.09</v>
      </c>
      <c r="O116" t="s">
        <v>35</v>
      </c>
    </row>
    <row r="117" spans="1:15" x14ac:dyDescent="0.35">
      <c r="A117" t="s">
        <v>167</v>
      </c>
      <c r="B117" s="2">
        <v>46255</v>
      </c>
      <c r="C117" t="s">
        <v>42</v>
      </c>
      <c r="D117" t="s">
        <v>43</v>
      </c>
      <c r="E117" t="s">
        <v>44</v>
      </c>
      <c r="F117" t="s">
        <v>45</v>
      </c>
      <c r="G117">
        <v>5</v>
      </c>
      <c r="H117">
        <v>78790.25</v>
      </c>
      <c r="I117">
        <v>0</v>
      </c>
      <c r="J117">
        <v>393951.25</v>
      </c>
      <c r="K117">
        <v>0</v>
      </c>
      <c r="L117">
        <v>7.4999999999999997E-2</v>
      </c>
      <c r="M117">
        <v>29546.34</v>
      </c>
      <c r="N117">
        <v>423497.59</v>
      </c>
      <c r="O117" t="s">
        <v>35</v>
      </c>
    </row>
    <row r="118" spans="1:15" x14ac:dyDescent="0.35">
      <c r="A118" t="s">
        <v>168</v>
      </c>
      <c r="B118" s="2">
        <v>46259</v>
      </c>
      <c r="C118" t="s">
        <v>47</v>
      </c>
      <c r="D118" t="s">
        <v>48</v>
      </c>
      <c r="E118" t="s">
        <v>49</v>
      </c>
      <c r="F118" t="s">
        <v>50</v>
      </c>
      <c r="G118">
        <v>3</v>
      </c>
      <c r="H118">
        <v>129010.61</v>
      </c>
      <c r="I118">
        <v>0.05</v>
      </c>
      <c r="J118">
        <v>387031.83</v>
      </c>
      <c r="K118">
        <v>19351.59</v>
      </c>
      <c r="L118">
        <v>7.4999999999999997E-2</v>
      </c>
      <c r="M118">
        <v>27576.02</v>
      </c>
      <c r="N118">
        <v>395256.26</v>
      </c>
      <c r="O118" t="s">
        <v>35</v>
      </c>
    </row>
    <row r="119" spans="1:15" x14ac:dyDescent="0.35">
      <c r="A119" t="s">
        <v>169</v>
      </c>
      <c r="B119" s="2">
        <v>46144</v>
      </c>
      <c r="C119" t="s">
        <v>52</v>
      </c>
      <c r="D119" t="s">
        <v>53</v>
      </c>
      <c r="E119" t="s">
        <v>54</v>
      </c>
      <c r="F119" t="s">
        <v>50</v>
      </c>
      <c r="G119">
        <v>7</v>
      </c>
      <c r="H119">
        <v>99272.66</v>
      </c>
      <c r="I119">
        <v>0</v>
      </c>
      <c r="J119">
        <v>694908.62</v>
      </c>
      <c r="K119">
        <v>0</v>
      </c>
      <c r="L119">
        <v>0.1</v>
      </c>
      <c r="M119">
        <v>69490.86</v>
      </c>
      <c r="N119">
        <v>764399.48</v>
      </c>
      <c r="O119" t="s">
        <v>35</v>
      </c>
    </row>
    <row r="120" spans="1:15" x14ac:dyDescent="0.35">
      <c r="A120" t="s">
        <v>170</v>
      </c>
      <c r="B120" s="2">
        <v>46250</v>
      </c>
      <c r="C120" t="s">
        <v>56</v>
      </c>
      <c r="D120" t="s">
        <v>57</v>
      </c>
      <c r="E120" t="s">
        <v>58</v>
      </c>
      <c r="F120" t="s">
        <v>19</v>
      </c>
      <c r="G120">
        <v>7</v>
      </c>
      <c r="H120">
        <v>23181.79</v>
      </c>
      <c r="I120">
        <v>0.15</v>
      </c>
      <c r="J120">
        <v>162272.53</v>
      </c>
      <c r="K120">
        <v>24340.880000000001</v>
      </c>
      <c r="L120">
        <v>0.1</v>
      </c>
      <c r="M120">
        <v>13793.16</v>
      </c>
      <c r="N120">
        <v>151724.81</v>
      </c>
      <c r="O120" t="s">
        <v>35</v>
      </c>
    </row>
    <row r="121" spans="1:15" x14ac:dyDescent="0.35">
      <c r="A121" t="s">
        <v>171</v>
      </c>
      <c r="B121" s="2">
        <v>46034</v>
      </c>
      <c r="C121" t="s">
        <v>60</v>
      </c>
      <c r="D121" t="s">
        <v>61</v>
      </c>
      <c r="E121" t="s">
        <v>62</v>
      </c>
      <c r="F121" t="s">
        <v>19</v>
      </c>
      <c r="G121">
        <v>0</v>
      </c>
      <c r="H121">
        <v>218439.12</v>
      </c>
      <c r="I121">
        <v>0.15</v>
      </c>
      <c r="J121">
        <v>1310634.72</v>
      </c>
      <c r="K121">
        <v>196595.21</v>
      </c>
      <c r="L121">
        <v>7.4999999999999997E-2</v>
      </c>
      <c r="M121">
        <v>83552.960000000006</v>
      </c>
      <c r="N121">
        <v>1197592.47</v>
      </c>
      <c r="O121" t="s">
        <v>35</v>
      </c>
    </row>
    <row r="122" spans="1:15" x14ac:dyDescent="0.35">
      <c r="A122" t="s">
        <v>172</v>
      </c>
      <c r="B122" s="2">
        <v>46204</v>
      </c>
      <c r="C122" t="s">
        <v>16</v>
      </c>
      <c r="D122" t="s">
        <v>17</v>
      </c>
      <c r="E122" t="s">
        <v>18</v>
      </c>
      <c r="F122" t="s">
        <v>19</v>
      </c>
      <c r="G122">
        <v>4</v>
      </c>
      <c r="H122">
        <v>646224.63</v>
      </c>
      <c r="I122">
        <v>0.05</v>
      </c>
      <c r="J122">
        <v>2584898.52</v>
      </c>
      <c r="K122">
        <v>129244.93</v>
      </c>
      <c r="L122">
        <v>0.1</v>
      </c>
      <c r="M122">
        <v>245565.36</v>
      </c>
      <c r="N122">
        <v>2701218.95</v>
      </c>
      <c r="O122" t="s">
        <v>35</v>
      </c>
    </row>
    <row r="123" spans="1:15" x14ac:dyDescent="0.35">
      <c r="A123" t="s">
        <v>173</v>
      </c>
      <c r="B123" s="2">
        <v>46217</v>
      </c>
      <c r="C123" t="s">
        <v>22</v>
      </c>
      <c r="D123" t="s">
        <v>23</v>
      </c>
      <c r="E123" t="s">
        <v>24</v>
      </c>
      <c r="F123" t="s">
        <v>19</v>
      </c>
      <c r="G123">
        <v>5</v>
      </c>
      <c r="H123">
        <v>19366.259999999998</v>
      </c>
      <c r="I123">
        <v>0.15</v>
      </c>
      <c r="J123">
        <v>96831.3</v>
      </c>
      <c r="K123">
        <v>14524.7</v>
      </c>
      <c r="L123">
        <v>7.4999999999999997E-2</v>
      </c>
      <c r="M123">
        <v>6173</v>
      </c>
      <c r="N123">
        <v>88479.6</v>
      </c>
      <c r="O123" t="s">
        <v>35</v>
      </c>
    </row>
    <row r="124" spans="1:15" x14ac:dyDescent="0.35">
      <c r="A124" t="s">
        <v>174</v>
      </c>
      <c r="B124" s="2">
        <v>46183</v>
      </c>
      <c r="C124" t="s">
        <v>27</v>
      </c>
      <c r="D124" t="s">
        <v>28</v>
      </c>
      <c r="E124" t="s">
        <v>29</v>
      </c>
      <c r="F124" t="s">
        <v>30</v>
      </c>
      <c r="G124">
        <v>1</v>
      </c>
      <c r="H124">
        <v>93650.34</v>
      </c>
      <c r="I124">
        <v>0</v>
      </c>
      <c r="J124">
        <v>93650.34</v>
      </c>
      <c r="K124">
        <v>0</v>
      </c>
      <c r="L124">
        <v>0.1</v>
      </c>
      <c r="M124">
        <v>9365.0300000000007</v>
      </c>
      <c r="N124">
        <v>103015.37</v>
      </c>
      <c r="O124" t="s">
        <v>35</v>
      </c>
    </row>
    <row r="125" spans="1:15" x14ac:dyDescent="0.35">
      <c r="A125" t="s">
        <v>175</v>
      </c>
      <c r="B125" s="2">
        <v>46223</v>
      </c>
      <c r="C125" t="s">
        <v>32</v>
      </c>
      <c r="D125" t="s">
        <v>33</v>
      </c>
      <c r="E125" t="s">
        <v>34</v>
      </c>
      <c r="F125" t="s">
        <v>30</v>
      </c>
      <c r="G125">
        <v>3</v>
      </c>
      <c r="H125">
        <v>12619.27</v>
      </c>
      <c r="I125">
        <v>0.05</v>
      </c>
      <c r="J125">
        <v>37857.81</v>
      </c>
      <c r="K125">
        <v>1892.89</v>
      </c>
      <c r="L125">
        <v>7.4999999999999997E-2</v>
      </c>
      <c r="M125">
        <v>2697.37</v>
      </c>
      <c r="N125">
        <v>38662.29</v>
      </c>
      <c r="O125" t="s">
        <v>20</v>
      </c>
    </row>
    <row r="126" spans="1:15" x14ac:dyDescent="0.35">
      <c r="A126" t="s">
        <v>176</v>
      </c>
      <c r="B126" s="2">
        <v>46135</v>
      </c>
      <c r="C126" t="s">
        <v>37</v>
      </c>
      <c r="D126" t="s">
        <v>38</v>
      </c>
      <c r="E126" t="s">
        <v>39</v>
      </c>
      <c r="F126" t="s">
        <v>40</v>
      </c>
      <c r="G126">
        <v>2</v>
      </c>
      <c r="H126">
        <v>139985.96</v>
      </c>
      <c r="I126">
        <v>0.05</v>
      </c>
      <c r="J126">
        <v>279971.92</v>
      </c>
      <c r="K126">
        <v>13998.6</v>
      </c>
      <c r="L126">
        <v>0.1</v>
      </c>
      <c r="M126">
        <v>26597.33</v>
      </c>
      <c r="N126">
        <v>292570.65000000002</v>
      </c>
      <c r="O126" t="s">
        <v>35</v>
      </c>
    </row>
    <row r="127" spans="1:15" x14ac:dyDescent="0.35">
      <c r="A127" t="s">
        <v>177</v>
      </c>
      <c r="B127" s="2">
        <v>46265</v>
      </c>
      <c r="C127" t="s">
        <v>42</v>
      </c>
      <c r="D127" t="s">
        <v>43</v>
      </c>
      <c r="E127" t="s">
        <v>44</v>
      </c>
      <c r="F127" t="s">
        <v>45</v>
      </c>
      <c r="G127">
        <v>1</v>
      </c>
      <c r="H127">
        <v>88775.39</v>
      </c>
      <c r="I127">
        <v>0.05</v>
      </c>
      <c r="J127">
        <v>88775.39</v>
      </c>
      <c r="K127">
        <v>4438.7700000000004</v>
      </c>
      <c r="L127">
        <v>0.1</v>
      </c>
      <c r="M127">
        <v>8433.66</v>
      </c>
      <c r="N127">
        <v>92770.28</v>
      </c>
      <c r="O127" t="s">
        <v>35</v>
      </c>
    </row>
    <row r="128" spans="1:15" x14ac:dyDescent="0.35">
      <c r="A128" t="s">
        <v>178</v>
      </c>
      <c r="B128" s="2">
        <v>46085</v>
      </c>
      <c r="C128" t="s">
        <v>47</v>
      </c>
      <c r="D128" t="s">
        <v>48</v>
      </c>
      <c r="E128" t="s">
        <v>49</v>
      </c>
      <c r="F128" t="s">
        <v>50</v>
      </c>
      <c r="G128">
        <v>5</v>
      </c>
      <c r="H128">
        <v>124791.9</v>
      </c>
      <c r="I128">
        <v>0</v>
      </c>
      <c r="J128">
        <v>623959.5</v>
      </c>
      <c r="K128">
        <v>0</v>
      </c>
      <c r="L128">
        <v>0.1</v>
      </c>
      <c r="M128">
        <v>62395.95</v>
      </c>
      <c r="N128">
        <v>686355.45</v>
      </c>
      <c r="O128" t="s">
        <v>20</v>
      </c>
    </row>
    <row r="129" spans="1:15" x14ac:dyDescent="0.35">
      <c r="A129" t="s">
        <v>179</v>
      </c>
      <c r="B129" s="2">
        <v>46155</v>
      </c>
      <c r="C129" t="s">
        <v>52</v>
      </c>
      <c r="D129" t="s">
        <v>53</v>
      </c>
      <c r="E129" t="s">
        <v>54</v>
      </c>
      <c r="F129" t="s">
        <v>50</v>
      </c>
      <c r="G129">
        <v>5</v>
      </c>
      <c r="H129">
        <v>93016.19</v>
      </c>
      <c r="I129">
        <v>0</v>
      </c>
      <c r="J129">
        <v>465080.95</v>
      </c>
      <c r="K129">
        <v>0</v>
      </c>
      <c r="L129">
        <v>7.4999999999999997E-2</v>
      </c>
      <c r="M129">
        <v>34881.07</v>
      </c>
      <c r="N129">
        <v>499962.02</v>
      </c>
      <c r="O129" t="s">
        <v>35</v>
      </c>
    </row>
    <row r="130" spans="1:15" x14ac:dyDescent="0.35">
      <c r="A130" t="s">
        <v>180</v>
      </c>
      <c r="B130" s="2">
        <v>46121</v>
      </c>
      <c r="C130" t="s">
        <v>56</v>
      </c>
      <c r="D130" t="s">
        <v>57</v>
      </c>
      <c r="E130" t="s">
        <v>58</v>
      </c>
      <c r="F130" t="s">
        <v>19</v>
      </c>
      <c r="G130">
        <v>7</v>
      </c>
      <c r="H130">
        <v>26458.89</v>
      </c>
      <c r="I130">
        <v>0</v>
      </c>
      <c r="J130">
        <v>185212.23</v>
      </c>
      <c r="K130">
        <v>0</v>
      </c>
      <c r="L130">
        <v>7.4999999999999997E-2</v>
      </c>
      <c r="M130">
        <v>13890.92</v>
      </c>
      <c r="N130">
        <v>199103.15</v>
      </c>
      <c r="O130" t="s">
        <v>20</v>
      </c>
    </row>
    <row r="131" spans="1:15" x14ac:dyDescent="0.35">
      <c r="A131" t="s">
        <v>181</v>
      </c>
      <c r="B131" s="2">
        <v>46191</v>
      </c>
      <c r="C131" t="s">
        <v>60</v>
      </c>
      <c r="D131" t="s">
        <v>61</v>
      </c>
      <c r="E131" t="s">
        <v>62</v>
      </c>
      <c r="F131" t="s">
        <v>19</v>
      </c>
      <c r="G131">
        <v>3</v>
      </c>
      <c r="H131">
        <v>221951.2</v>
      </c>
      <c r="I131">
        <v>0</v>
      </c>
      <c r="J131">
        <v>665853.6</v>
      </c>
      <c r="K131">
        <v>0</v>
      </c>
      <c r="L131">
        <v>7.4999999999999997E-2</v>
      </c>
      <c r="M131">
        <v>49939.02</v>
      </c>
      <c r="N131">
        <v>715792.62</v>
      </c>
      <c r="O131" t="s">
        <v>20</v>
      </c>
    </row>
    <row r="132" spans="1:15" x14ac:dyDescent="0.35">
      <c r="A132" t="s">
        <v>182</v>
      </c>
      <c r="B132" s="2">
        <v>46136</v>
      </c>
      <c r="C132" t="s">
        <v>16</v>
      </c>
      <c r="D132" t="s">
        <v>17</v>
      </c>
      <c r="E132" t="s">
        <v>18</v>
      </c>
      <c r="F132" t="s">
        <v>19</v>
      </c>
      <c r="G132">
        <v>3</v>
      </c>
      <c r="H132">
        <v>623724.19999999995</v>
      </c>
      <c r="I132">
        <v>0.05</v>
      </c>
      <c r="J132">
        <v>1871172.6</v>
      </c>
      <c r="K132">
        <v>93558.63</v>
      </c>
      <c r="L132">
        <v>7.4999999999999997E-2</v>
      </c>
      <c r="M132">
        <v>133321.04999999999</v>
      </c>
      <c r="N132">
        <v>1910935.02</v>
      </c>
      <c r="O132" t="s">
        <v>35</v>
      </c>
    </row>
    <row r="133" spans="1:15" x14ac:dyDescent="0.35">
      <c r="A133" t="s">
        <v>183</v>
      </c>
      <c r="B133" s="2">
        <v>46139</v>
      </c>
      <c r="C133" t="s">
        <v>22</v>
      </c>
      <c r="D133" t="s">
        <v>23</v>
      </c>
      <c r="E133" t="s">
        <v>24</v>
      </c>
      <c r="F133" t="s">
        <v>19</v>
      </c>
      <c r="G133">
        <v>5</v>
      </c>
      <c r="H133">
        <v>18305.78</v>
      </c>
      <c r="I133">
        <v>0.05</v>
      </c>
      <c r="J133">
        <v>91528.9</v>
      </c>
      <c r="K133">
        <v>4576.4399999999996</v>
      </c>
      <c r="L133">
        <v>7.4999999999999997E-2</v>
      </c>
      <c r="M133">
        <v>6521.43</v>
      </c>
      <c r="N133">
        <v>93473.89</v>
      </c>
      <c r="O133" t="s">
        <v>20</v>
      </c>
    </row>
    <row r="134" spans="1:15" x14ac:dyDescent="0.35">
      <c r="A134" t="s">
        <v>184</v>
      </c>
      <c r="B134" s="2">
        <v>46180</v>
      </c>
      <c r="C134" t="s">
        <v>27</v>
      </c>
      <c r="D134" t="s">
        <v>28</v>
      </c>
      <c r="E134" t="s">
        <v>29</v>
      </c>
      <c r="F134" t="s">
        <v>30</v>
      </c>
      <c r="G134">
        <v>2</v>
      </c>
      <c r="H134">
        <v>92844.07</v>
      </c>
      <c r="I134">
        <v>0.15</v>
      </c>
      <c r="J134">
        <v>185688.14</v>
      </c>
      <c r="K134">
        <v>27853.22</v>
      </c>
      <c r="L134">
        <v>7.4999999999999997E-2</v>
      </c>
      <c r="M134">
        <v>11837.62</v>
      </c>
      <c r="N134">
        <v>169672.54</v>
      </c>
      <c r="O134" t="s">
        <v>35</v>
      </c>
    </row>
    <row r="135" spans="1:15" x14ac:dyDescent="0.35">
      <c r="A135" t="s">
        <v>185</v>
      </c>
      <c r="B135" s="2">
        <v>46038</v>
      </c>
      <c r="C135" t="s">
        <v>32</v>
      </c>
      <c r="D135" t="s">
        <v>33</v>
      </c>
      <c r="E135" t="s">
        <v>34</v>
      </c>
      <c r="F135" t="s">
        <v>30</v>
      </c>
      <c r="G135">
        <v>6</v>
      </c>
      <c r="H135">
        <v>12522.85</v>
      </c>
      <c r="I135">
        <v>0.1</v>
      </c>
      <c r="J135">
        <v>75137.100000000006</v>
      </c>
      <c r="K135">
        <v>7513.71</v>
      </c>
      <c r="L135">
        <v>0.1</v>
      </c>
      <c r="M135">
        <v>6762.34</v>
      </c>
      <c r="N135">
        <v>74385.73</v>
      </c>
      <c r="O135" t="s">
        <v>20</v>
      </c>
    </row>
    <row r="136" spans="1:15" x14ac:dyDescent="0.35">
      <c r="A136" t="s">
        <v>186</v>
      </c>
      <c r="B136" s="2">
        <v>46083</v>
      </c>
      <c r="C136" t="s">
        <v>37</v>
      </c>
      <c r="D136" t="s">
        <v>38</v>
      </c>
      <c r="E136" t="s">
        <v>39</v>
      </c>
      <c r="F136" t="s">
        <v>40</v>
      </c>
      <c r="G136">
        <v>4</v>
      </c>
      <c r="H136">
        <v>151462.51</v>
      </c>
      <c r="I136">
        <v>0.05</v>
      </c>
      <c r="J136">
        <v>605850.04</v>
      </c>
      <c r="K136">
        <v>30292.5</v>
      </c>
      <c r="L136">
        <v>7.4999999999999997E-2</v>
      </c>
      <c r="M136">
        <v>43166.82</v>
      </c>
      <c r="N136">
        <v>618724.36</v>
      </c>
      <c r="O136" t="s">
        <v>20</v>
      </c>
    </row>
    <row r="137" spans="1:15" x14ac:dyDescent="0.35">
      <c r="A137" t="s">
        <v>187</v>
      </c>
      <c r="B137" s="2">
        <v>46111</v>
      </c>
      <c r="C137" t="s">
        <v>42</v>
      </c>
      <c r="D137" t="s">
        <v>43</v>
      </c>
      <c r="E137" t="s">
        <v>44</v>
      </c>
      <c r="F137" t="s">
        <v>45</v>
      </c>
      <c r="G137">
        <v>7</v>
      </c>
      <c r="H137">
        <v>78591.44</v>
      </c>
      <c r="I137">
        <v>0.1</v>
      </c>
      <c r="J137">
        <v>550140.07999999996</v>
      </c>
      <c r="K137">
        <v>55014.01</v>
      </c>
      <c r="L137">
        <v>7.4999999999999997E-2</v>
      </c>
      <c r="M137">
        <v>37134.46</v>
      </c>
      <c r="N137">
        <v>532260.53</v>
      </c>
      <c r="O137" t="s">
        <v>20</v>
      </c>
    </row>
    <row r="138" spans="1:15" x14ac:dyDescent="0.35">
      <c r="A138" t="s">
        <v>188</v>
      </c>
      <c r="B138" s="2">
        <v>46252</v>
      </c>
      <c r="C138" t="s">
        <v>47</v>
      </c>
      <c r="D138" t="s">
        <v>48</v>
      </c>
      <c r="E138" t="s">
        <v>49</v>
      </c>
      <c r="F138" t="s">
        <v>50</v>
      </c>
      <c r="G138">
        <v>3</v>
      </c>
      <c r="H138">
        <v>114488.91</v>
      </c>
      <c r="I138">
        <v>0.05</v>
      </c>
      <c r="J138">
        <v>343466.73</v>
      </c>
      <c r="K138">
        <v>17173.34</v>
      </c>
      <c r="L138">
        <v>0.1</v>
      </c>
      <c r="M138">
        <v>32629.34</v>
      </c>
      <c r="N138">
        <v>358922.73</v>
      </c>
      <c r="O138" t="s">
        <v>35</v>
      </c>
    </row>
    <row r="139" spans="1:15" x14ac:dyDescent="0.35">
      <c r="A139" t="s">
        <v>189</v>
      </c>
      <c r="B139" s="2">
        <v>46205</v>
      </c>
      <c r="C139" t="s">
        <v>52</v>
      </c>
      <c r="D139" t="s">
        <v>53</v>
      </c>
      <c r="E139" t="s">
        <v>54</v>
      </c>
      <c r="F139" t="s">
        <v>50</v>
      </c>
      <c r="G139">
        <v>2</v>
      </c>
      <c r="H139">
        <v>102186.31</v>
      </c>
      <c r="I139">
        <v>0.1</v>
      </c>
      <c r="J139">
        <v>204372.62</v>
      </c>
      <c r="K139">
        <v>20437.259999999998</v>
      </c>
      <c r="L139">
        <v>7.4999999999999997E-2</v>
      </c>
      <c r="M139">
        <v>13795.15</v>
      </c>
      <c r="N139">
        <v>197730.51</v>
      </c>
      <c r="O139" t="s">
        <v>25</v>
      </c>
    </row>
    <row r="140" spans="1:15" x14ac:dyDescent="0.35">
      <c r="A140" t="s">
        <v>190</v>
      </c>
      <c r="B140" s="2">
        <v>46105</v>
      </c>
      <c r="C140" t="s">
        <v>56</v>
      </c>
      <c r="D140" t="s">
        <v>57</v>
      </c>
      <c r="E140" t="s">
        <v>58</v>
      </c>
      <c r="F140" t="s">
        <v>19</v>
      </c>
      <c r="G140">
        <v>4</v>
      </c>
      <c r="H140">
        <v>25189.79</v>
      </c>
      <c r="I140">
        <v>0</v>
      </c>
      <c r="J140">
        <v>100759.16</v>
      </c>
      <c r="K140">
        <v>0</v>
      </c>
      <c r="L140">
        <v>0.1</v>
      </c>
      <c r="M140">
        <v>10075.92</v>
      </c>
      <c r="N140">
        <v>110835.08</v>
      </c>
      <c r="O140" t="s">
        <v>35</v>
      </c>
    </row>
    <row r="141" spans="1:15" x14ac:dyDescent="0.35">
      <c r="A141" t="s">
        <v>191</v>
      </c>
      <c r="B141" s="2">
        <v>46055</v>
      </c>
      <c r="C141" t="s">
        <v>60</v>
      </c>
      <c r="D141" t="s">
        <v>61</v>
      </c>
      <c r="E141" t="s">
        <v>62</v>
      </c>
      <c r="F141" t="s">
        <v>19</v>
      </c>
      <c r="G141">
        <v>7</v>
      </c>
      <c r="H141">
        <v>220830.8</v>
      </c>
      <c r="I141">
        <v>0</v>
      </c>
      <c r="J141">
        <v>1545815.6</v>
      </c>
      <c r="K141">
        <v>0</v>
      </c>
      <c r="L141">
        <v>7.4999999999999997E-2</v>
      </c>
      <c r="M141">
        <v>115936.17</v>
      </c>
      <c r="N141">
        <v>1661751.77</v>
      </c>
      <c r="O141" t="s">
        <v>35</v>
      </c>
    </row>
    <row r="142" spans="1:15" x14ac:dyDescent="0.35">
      <c r="A142" t="s">
        <v>192</v>
      </c>
      <c r="B142" s="2">
        <v>46242</v>
      </c>
      <c r="C142" t="s">
        <v>16</v>
      </c>
      <c r="D142" t="s">
        <v>17</v>
      </c>
      <c r="E142" t="s">
        <v>18</v>
      </c>
      <c r="F142" t="s">
        <v>19</v>
      </c>
      <c r="G142">
        <v>1</v>
      </c>
      <c r="H142">
        <v>649180.09</v>
      </c>
      <c r="I142">
        <v>0.15</v>
      </c>
      <c r="J142">
        <v>649180.09</v>
      </c>
      <c r="K142">
        <v>97377.01</v>
      </c>
      <c r="L142">
        <v>0.1</v>
      </c>
      <c r="M142">
        <v>55180.31</v>
      </c>
      <c r="N142">
        <v>606983.39</v>
      </c>
      <c r="O142" t="s">
        <v>35</v>
      </c>
    </row>
    <row r="143" spans="1:15" x14ac:dyDescent="0.35">
      <c r="A143" t="s">
        <v>193</v>
      </c>
      <c r="B143" s="2">
        <v>46261</v>
      </c>
      <c r="C143" t="s">
        <v>22</v>
      </c>
      <c r="D143" t="s">
        <v>23</v>
      </c>
      <c r="E143" t="s">
        <v>24</v>
      </c>
      <c r="F143" t="s">
        <v>19</v>
      </c>
      <c r="G143">
        <v>6</v>
      </c>
      <c r="H143">
        <v>17978.740000000002</v>
      </c>
      <c r="I143">
        <v>0</v>
      </c>
      <c r="J143">
        <v>107872.44</v>
      </c>
      <c r="K143">
        <v>0</v>
      </c>
      <c r="L143">
        <v>0.1</v>
      </c>
      <c r="M143">
        <v>10787.24</v>
      </c>
      <c r="N143">
        <v>118659.68</v>
      </c>
      <c r="O143" t="s">
        <v>20</v>
      </c>
    </row>
    <row r="144" spans="1:15" x14ac:dyDescent="0.35">
      <c r="A144" t="s">
        <v>194</v>
      </c>
      <c r="B144" s="2">
        <v>46209</v>
      </c>
      <c r="C144" t="s">
        <v>27</v>
      </c>
      <c r="D144" t="s">
        <v>28</v>
      </c>
      <c r="E144" t="s">
        <v>29</v>
      </c>
      <c r="F144" t="s">
        <v>30</v>
      </c>
      <c r="G144">
        <v>3</v>
      </c>
      <c r="H144">
        <v>88553.12</v>
      </c>
      <c r="I144">
        <v>0</v>
      </c>
      <c r="J144">
        <v>265659.36</v>
      </c>
      <c r="K144">
        <v>0</v>
      </c>
      <c r="L144">
        <v>7.4999999999999997E-2</v>
      </c>
      <c r="M144">
        <v>19924.45</v>
      </c>
      <c r="N144">
        <v>285583.81</v>
      </c>
      <c r="O144" t="s">
        <v>20</v>
      </c>
    </row>
    <row r="145" spans="1:15" x14ac:dyDescent="0.35">
      <c r="A145" t="s">
        <v>195</v>
      </c>
      <c r="B145" s="2">
        <v>46130</v>
      </c>
      <c r="C145" t="s">
        <v>32</v>
      </c>
      <c r="D145" t="s">
        <v>33</v>
      </c>
      <c r="E145" t="s">
        <v>34</v>
      </c>
      <c r="F145" t="s">
        <v>30</v>
      </c>
      <c r="G145">
        <v>3</v>
      </c>
      <c r="H145">
        <v>11306.55</v>
      </c>
      <c r="I145">
        <v>0.15</v>
      </c>
      <c r="J145">
        <v>33919.65</v>
      </c>
      <c r="K145">
        <v>5087.95</v>
      </c>
      <c r="L145">
        <v>0.1</v>
      </c>
      <c r="M145">
        <v>2883.17</v>
      </c>
      <c r="N145">
        <v>31714.87</v>
      </c>
      <c r="O145" t="s">
        <v>20</v>
      </c>
    </row>
    <row r="146" spans="1:15" x14ac:dyDescent="0.35">
      <c r="A146" t="s">
        <v>196</v>
      </c>
      <c r="B146" s="2">
        <v>46119</v>
      </c>
      <c r="C146" t="s">
        <v>37</v>
      </c>
      <c r="D146" t="s">
        <v>38</v>
      </c>
      <c r="E146" t="s">
        <v>39</v>
      </c>
      <c r="F146" t="s">
        <v>40</v>
      </c>
      <c r="G146">
        <v>1</v>
      </c>
      <c r="H146">
        <v>159522.92000000001</v>
      </c>
      <c r="I146">
        <v>0.1</v>
      </c>
      <c r="J146">
        <v>159522.92000000001</v>
      </c>
      <c r="K146">
        <v>15952.29</v>
      </c>
      <c r="L146">
        <v>7.4999999999999997E-2</v>
      </c>
      <c r="M146">
        <v>10767.8</v>
      </c>
      <c r="N146">
        <v>154338.43</v>
      </c>
      <c r="O146" t="s">
        <v>25</v>
      </c>
    </row>
    <row r="147" spans="1:15" x14ac:dyDescent="0.35">
      <c r="A147" t="s">
        <v>197</v>
      </c>
      <c r="B147" s="2">
        <v>46031</v>
      </c>
      <c r="C147" t="s">
        <v>42</v>
      </c>
      <c r="D147" t="s">
        <v>43</v>
      </c>
      <c r="E147" t="s">
        <v>44</v>
      </c>
      <c r="F147" t="s">
        <v>45</v>
      </c>
      <c r="G147">
        <v>5</v>
      </c>
      <c r="H147">
        <v>80815.13</v>
      </c>
      <c r="I147">
        <v>0.1</v>
      </c>
      <c r="J147">
        <v>404075.65</v>
      </c>
      <c r="K147">
        <v>40407.56</v>
      </c>
      <c r="L147">
        <v>7.4999999999999997E-2</v>
      </c>
      <c r="M147">
        <v>27275.11</v>
      </c>
      <c r="N147">
        <v>390943.2</v>
      </c>
      <c r="O147" t="s">
        <v>35</v>
      </c>
    </row>
    <row r="148" spans="1:15" x14ac:dyDescent="0.35">
      <c r="A148" t="s">
        <v>198</v>
      </c>
      <c r="B148" s="2">
        <v>46027</v>
      </c>
      <c r="C148" t="s">
        <v>47</v>
      </c>
      <c r="D148" t="s">
        <v>48</v>
      </c>
      <c r="E148" t="s">
        <v>49</v>
      </c>
      <c r="F148" t="s">
        <v>50</v>
      </c>
      <c r="G148">
        <v>2</v>
      </c>
      <c r="H148">
        <v>113798.6</v>
      </c>
      <c r="I148">
        <v>0</v>
      </c>
      <c r="J148">
        <v>227597.2</v>
      </c>
      <c r="K148">
        <v>0</v>
      </c>
      <c r="L148">
        <v>0.1</v>
      </c>
      <c r="M148">
        <v>22759.72</v>
      </c>
      <c r="N148">
        <v>250356.92</v>
      </c>
      <c r="O148" t="s">
        <v>35</v>
      </c>
    </row>
    <row r="149" spans="1:15" x14ac:dyDescent="0.35">
      <c r="A149" t="s">
        <v>199</v>
      </c>
      <c r="B149" s="2">
        <v>46104</v>
      </c>
      <c r="C149" t="s">
        <v>52</v>
      </c>
      <c r="D149" t="s">
        <v>53</v>
      </c>
      <c r="E149" t="s">
        <v>54</v>
      </c>
      <c r="F149" t="s">
        <v>50</v>
      </c>
      <c r="G149">
        <v>4</v>
      </c>
      <c r="H149">
        <v>95301.34</v>
      </c>
      <c r="I149">
        <v>0.05</v>
      </c>
      <c r="J149">
        <v>381205.36</v>
      </c>
      <c r="K149">
        <v>19060.27</v>
      </c>
      <c r="L149">
        <v>7.4999999999999997E-2</v>
      </c>
      <c r="M149">
        <v>27160.880000000001</v>
      </c>
      <c r="N149">
        <v>389305.97</v>
      </c>
      <c r="O149" t="s">
        <v>35</v>
      </c>
    </row>
    <row r="150" spans="1:15" x14ac:dyDescent="0.35">
      <c r="A150" t="s">
        <v>200</v>
      </c>
      <c r="B150" s="2">
        <v>46147</v>
      </c>
      <c r="C150" t="s">
        <v>56</v>
      </c>
      <c r="D150" t="s">
        <v>57</v>
      </c>
      <c r="E150" t="s">
        <v>58</v>
      </c>
      <c r="F150" t="s">
        <v>19</v>
      </c>
      <c r="G150">
        <v>3</v>
      </c>
      <c r="H150">
        <v>23157.25</v>
      </c>
      <c r="I150">
        <v>0</v>
      </c>
      <c r="J150">
        <v>69471.75</v>
      </c>
      <c r="K150">
        <v>0</v>
      </c>
      <c r="L150">
        <v>7.4999999999999997E-2</v>
      </c>
      <c r="M150">
        <v>5210.38</v>
      </c>
      <c r="N150">
        <v>74682.13</v>
      </c>
      <c r="O150" t="s">
        <v>20</v>
      </c>
    </row>
    <row r="151" spans="1:15" x14ac:dyDescent="0.35">
      <c r="A151" t="s">
        <v>201</v>
      </c>
      <c r="B151" s="2">
        <v>46107</v>
      </c>
      <c r="C151" t="s">
        <v>60</v>
      </c>
      <c r="D151" t="s">
        <v>61</v>
      </c>
      <c r="E151" t="s">
        <v>62</v>
      </c>
      <c r="F151" t="s">
        <v>19</v>
      </c>
      <c r="G151">
        <v>6</v>
      </c>
      <c r="H151">
        <v>207925.61</v>
      </c>
      <c r="I151">
        <v>0.15</v>
      </c>
      <c r="J151">
        <v>1247553.6599999999</v>
      </c>
      <c r="K151">
        <v>187133.05</v>
      </c>
      <c r="L151">
        <v>7.4999999999999997E-2</v>
      </c>
      <c r="M151">
        <v>79531.55</v>
      </c>
      <c r="N151">
        <v>1139952.1599999999</v>
      </c>
      <c r="O151" t="s">
        <v>35</v>
      </c>
    </row>
    <row r="152" spans="1:15" x14ac:dyDescent="0.35">
      <c r="A152" t="s">
        <v>202</v>
      </c>
      <c r="B152" s="2">
        <v>46206</v>
      </c>
      <c r="C152" t="s">
        <v>16</v>
      </c>
      <c r="D152" t="s">
        <v>17</v>
      </c>
      <c r="E152" t="s">
        <v>18</v>
      </c>
      <c r="F152" t="s">
        <v>19</v>
      </c>
      <c r="G152">
        <v>1</v>
      </c>
      <c r="H152">
        <v>606789.77</v>
      </c>
      <c r="I152">
        <v>0.1</v>
      </c>
      <c r="J152">
        <v>606789.77</v>
      </c>
      <c r="K152">
        <v>60678.98</v>
      </c>
      <c r="L152">
        <v>7.4999999999999997E-2</v>
      </c>
      <c r="M152">
        <v>40958.31</v>
      </c>
      <c r="N152">
        <v>587069.1</v>
      </c>
      <c r="O152" t="s">
        <v>35</v>
      </c>
    </row>
    <row r="153" spans="1:15" x14ac:dyDescent="0.35">
      <c r="A153" t="s">
        <v>203</v>
      </c>
      <c r="B153" s="2">
        <v>46054</v>
      </c>
      <c r="C153" t="s">
        <v>22</v>
      </c>
      <c r="D153" t="s">
        <v>23</v>
      </c>
      <c r="E153" t="s">
        <v>24</v>
      </c>
      <c r="F153" t="s">
        <v>19</v>
      </c>
      <c r="G153">
        <v>7</v>
      </c>
      <c r="H153">
        <v>19221.240000000002</v>
      </c>
      <c r="I153">
        <v>0.05</v>
      </c>
      <c r="J153">
        <v>134548.68</v>
      </c>
      <c r="K153">
        <v>6727.43</v>
      </c>
      <c r="L153">
        <v>0.1</v>
      </c>
      <c r="M153">
        <v>12782.12</v>
      </c>
      <c r="N153">
        <v>140603.37</v>
      </c>
      <c r="O153" t="s">
        <v>35</v>
      </c>
    </row>
    <row r="154" spans="1:15" x14ac:dyDescent="0.35">
      <c r="A154" t="s">
        <v>204</v>
      </c>
      <c r="B154" s="2">
        <v>46082</v>
      </c>
      <c r="C154" t="s">
        <v>27</v>
      </c>
      <c r="D154" t="s">
        <v>28</v>
      </c>
      <c r="E154" t="s">
        <v>29</v>
      </c>
      <c r="F154" t="s">
        <v>30</v>
      </c>
      <c r="G154">
        <v>2</v>
      </c>
      <c r="H154">
        <v>98761.56</v>
      </c>
      <c r="I154">
        <v>0.05</v>
      </c>
      <c r="J154">
        <v>197523.12</v>
      </c>
      <c r="K154">
        <v>9876.16</v>
      </c>
      <c r="L154">
        <v>7.4999999999999997E-2</v>
      </c>
      <c r="M154">
        <v>14073.52</v>
      </c>
      <c r="N154">
        <v>201720.48</v>
      </c>
      <c r="O154" t="s">
        <v>35</v>
      </c>
    </row>
    <row r="155" spans="1:15" x14ac:dyDescent="0.35">
      <c r="A155" t="s">
        <v>205</v>
      </c>
      <c r="B155" s="2">
        <v>46265</v>
      </c>
      <c r="C155" t="s">
        <v>32</v>
      </c>
      <c r="D155" t="s">
        <v>33</v>
      </c>
      <c r="E155" t="s">
        <v>34</v>
      </c>
      <c r="F155" t="s">
        <v>30</v>
      </c>
      <c r="G155">
        <v>3</v>
      </c>
      <c r="H155">
        <v>12758.8</v>
      </c>
      <c r="I155">
        <v>0.05</v>
      </c>
      <c r="J155">
        <v>38276.400000000001</v>
      </c>
      <c r="K155">
        <v>1913.82</v>
      </c>
      <c r="L155">
        <v>7.4999999999999997E-2</v>
      </c>
      <c r="M155">
        <v>2727.19</v>
      </c>
      <c r="N155">
        <v>39089.769999999997</v>
      </c>
      <c r="O155" t="s">
        <v>35</v>
      </c>
    </row>
    <row r="156" spans="1:15" x14ac:dyDescent="0.35">
      <c r="A156" t="s">
        <v>206</v>
      </c>
      <c r="B156" s="2">
        <v>46041</v>
      </c>
      <c r="C156" t="s">
        <v>37</v>
      </c>
      <c r="D156" t="s">
        <v>38</v>
      </c>
      <c r="E156" t="s">
        <v>39</v>
      </c>
      <c r="F156" t="s">
        <v>40</v>
      </c>
      <c r="G156">
        <v>2</v>
      </c>
      <c r="H156">
        <v>148737.9</v>
      </c>
      <c r="I156">
        <v>0.1</v>
      </c>
      <c r="J156">
        <v>297475.8</v>
      </c>
      <c r="K156">
        <v>29747.58</v>
      </c>
      <c r="L156">
        <v>7.4999999999999997E-2</v>
      </c>
      <c r="M156">
        <v>20079.62</v>
      </c>
      <c r="N156">
        <v>287807.84000000003</v>
      </c>
      <c r="O156" t="s">
        <v>35</v>
      </c>
    </row>
    <row r="157" spans="1:15" x14ac:dyDescent="0.35">
      <c r="A157" t="s">
        <v>207</v>
      </c>
      <c r="B157" s="2">
        <v>46211</v>
      </c>
      <c r="C157" t="s">
        <v>42</v>
      </c>
      <c r="D157" t="s">
        <v>43</v>
      </c>
      <c r="E157" t="s">
        <v>44</v>
      </c>
      <c r="F157" t="s">
        <v>45</v>
      </c>
      <c r="G157">
        <v>7</v>
      </c>
      <c r="H157">
        <v>83331.06</v>
      </c>
      <c r="I157">
        <v>0.05</v>
      </c>
      <c r="J157">
        <v>583317.42000000004</v>
      </c>
      <c r="K157">
        <v>29165.87</v>
      </c>
      <c r="L157">
        <v>7.4999999999999997E-2</v>
      </c>
      <c r="M157">
        <v>41561.370000000003</v>
      </c>
      <c r="N157">
        <v>595712.92000000004</v>
      </c>
      <c r="O157" t="s">
        <v>20</v>
      </c>
    </row>
    <row r="158" spans="1:15" x14ac:dyDescent="0.35">
      <c r="A158" t="s">
        <v>208</v>
      </c>
      <c r="B158" s="2">
        <v>46171</v>
      </c>
      <c r="C158" t="s">
        <v>47</v>
      </c>
      <c r="D158" t="s">
        <v>48</v>
      </c>
      <c r="E158" t="s">
        <v>49</v>
      </c>
      <c r="F158" t="s">
        <v>50</v>
      </c>
      <c r="G158">
        <v>6</v>
      </c>
      <c r="H158">
        <v>116687.95</v>
      </c>
      <c r="I158">
        <v>0.15</v>
      </c>
      <c r="J158">
        <v>700127.7</v>
      </c>
      <c r="K158">
        <v>105019.15</v>
      </c>
      <c r="L158">
        <v>7.4999999999999997E-2</v>
      </c>
      <c r="M158">
        <v>44633.14</v>
      </c>
      <c r="N158">
        <v>639741.68999999994</v>
      </c>
      <c r="O158" t="s">
        <v>35</v>
      </c>
    </row>
    <row r="159" spans="1:15" x14ac:dyDescent="0.35">
      <c r="A159" t="s">
        <v>209</v>
      </c>
      <c r="B159" s="2">
        <v>46135</v>
      </c>
      <c r="C159" t="s">
        <v>52</v>
      </c>
      <c r="D159" t="s">
        <v>53</v>
      </c>
      <c r="E159" t="s">
        <v>54</v>
      </c>
      <c r="F159" t="s">
        <v>50</v>
      </c>
      <c r="G159">
        <v>1</v>
      </c>
      <c r="H159">
        <v>102865.64</v>
      </c>
      <c r="I159">
        <v>0.1</v>
      </c>
      <c r="J159">
        <v>102865.64</v>
      </c>
      <c r="K159">
        <v>10286.56</v>
      </c>
      <c r="L159">
        <v>7.4999999999999997E-2</v>
      </c>
      <c r="M159">
        <v>6943.43</v>
      </c>
      <c r="N159">
        <v>99522.51</v>
      </c>
      <c r="O159" t="s">
        <v>35</v>
      </c>
    </row>
    <row r="160" spans="1:15" x14ac:dyDescent="0.35">
      <c r="A160" t="s">
        <v>210</v>
      </c>
      <c r="B160" s="2">
        <v>46034</v>
      </c>
      <c r="C160" t="s">
        <v>56</v>
      </c>
      <c r="D160" t="s">
        <v>57</v>
      </c>
      <c r="E160" t="s">
        <v>58</v>
      </c>
      <c r="F160" t="s">
        <v>19</v>
      </c>
      <c r="G160">
        <v>4</v>
      </c>
      <c r="H160">
        <v>25148.43</v>
      </c>
      <c r="I160">
        <v>0.05</v>
      </c>
      <c r="J160">
        <v>100593.72</v>
      </c>
      <c r="K160">
        <v>5029.6899999999996</v>
      </c>
      <c r="L160">
        <v>7.4999999999999997E-2</v>
      </c>
      <c r="M160">
        <v>7167.3</v>
      </c>
      <c r="N160">
        <v>102731.33</v>
      </c>
      <c r="O160" t="s">
        <v>20</v>
      </c>
    </row>
    <row r="161" spans="1:15" x14ac:dyDescent="0.35">
      <c r="A161" t="s">
        <v>211</v>
      </c>
      <c r="B161" s="2">
        <v>46032</v>
      </c>
      <c r="C161" t="s">
        <v>60</v>
      </c>
      <c r="D161" t="s">
        <v>61</v>
      </c>
      <c r="E161" t="s">
        <v>62</v>
      </c>
      <c r="F161" t="s">
        <v>19</v>
      </c>
      <c r="G161">
        <v>4</v>
      </c>
      <c r="H161">
        <v>206890.83</v>
      </c>
      <c r="I161">
        <v>0</v>
      </c>
      <c r="J161">
        <v>827563.32</v>
      </c>
      <c r="K161">
        <v>0</v>
      </c>
      <c r="L161">
        <v>7.4999999999999997E-2</v>
      </c>
      <c r="M161">
        <v>62067.25</v>
      </c>
      <c r="N161">
        <v>889630.57</v>
      </c>
      <c r="O161" t="s">
        <v>25</v>
      </c>
    </row>
    <row r="162" spans="1:15" x14ac:dyDescent="0.35">
      <c r="A162" t="s">
        <v>212</v>
      </c>
      <c r="B162" s="2">
        <v>46224</v>
      </c>
      <c r="C162" t="s">
        <v>16</v>
      </c>
      <c r="D162" t="s">
        <v>17</v>
      </c>
      <c r="E162" t="s">
        <v>18</v>
      </c>
      <c r="F162" t="s">
        <v>19</v>
      </c>
      <c r="G162">
        <v>2</v>
      </c>
      <c r="H162">
        <v>623412.73</v>
      </c>
      <c r="I162">
        <v>0.1</v>
      </c>
      <c r="J162">
        <v>1246825.46</v>
      </c>
      <c r="K162">
        <v>124682.55</v>
      </c>
      <c r="L162">
        <v>7.4999999999999997E-2</v>
      </c>
      <c r="M162">
        <v>84160.72</v>
      </c>
      <c r="N162">
        <v>1206303.6299999999</v>
      </c>
      <c r="O162" t="s">
        <v>20</v>
      </c>
    </row>
    <row r="163" spans="1:15" x14ac:dyDescent="0.35">
      <c r="A163" t="s">
        <v>213</v>
      </c>
      <c r="B163" s="2">
        <v>46096</v>
      </c>
      <c r="C163" t="s">
        <v>22</v>
      </c>
      <c r="D163" t="s">
        <v>23</v>
      </c>
      <c r="E163" t="s">
        <v>24</v>
      </c>
      <c r="F163" t="s">
        <v>19</v>
      </c>
      <c r="G163">
        <v>1</v>
      </c>
      <c r="H163">
        <v>16581.7</v>
      </c>
      <c r="I163">
        <v>0</v>
      </c>
      <c r="J163">
        <v>16581.7</v>
      </c>
      <c r="K163">
        <v>0</v>
      </c>
      <c r="L163">
        <v>0.1</v>
      </c>
      <c r="M163">
        <v>1658.17</v>
      </c>
      <c r="N163">
        <v>18239.87</v>
      </c>
      <c r="O163" t="s">
        <v>35</v>
      </c>
    </row>
    <row r="164" spans="1:15" x14ac:dyDescent="0.35">
      <c r="A164" t="s">
        <v>214</v>
      </c>
      <c r="B164" s="2">
        <v>46120</v>
      </c>
      <c r="C164" t="s">
        <v>27</v>
      </c>
      <c r="D164" t="s">
        <v>28</v>
      </c>
      <c r="E164" t="s">
        <v>29</v>
      </c>
      <c r="F164" t="s">
        <v>30</v>
      </c>
      <c r="G164">
        <v>4</v>
      </c>
      <c r="H164">
        <v>100332.43</v>
      </c>
      <c r="I164">
        <v>0.05</v>
      </c>
      <c r="J164">
        <v>401329.72</v>
      </c>
      <c r="K164">
        <v>20066.490000000002</v>
      </c>
      <c r="L164">
        <v>0.1</v>
      </c>
      <c r="M164">
        <v>38126.32</v>
      </c>
      <c r="N164">
        <v>419389.55</v>
      </c>
      <c r="O164" t="s">
        <v>35</v>
      </c>
    </row>
    <row r="165" spans="1:15" x14ac:dyDescent="0.35">
      <c r="A165" t="s">
        <v>215</v>
      </c>
      <c r="B165" s="2">
        <v>46057</v>
      </c>
      <c r="C165" t="s">
        <v>32</v>
      </c>
      <c r="D165" t="s">
        <v>33</v>
      </c>
      <c r="E165" t="s">
        <v>34</v>
      </c>
      <c r="F165" t="s">
        <v>30</v>
      </c>
      <c r="G165">
        <v>7</v>
      </c>
      <c r="H165">
        <v>12657.24</v>
      </c>
      <c r="I165">
        <v>0.1</v>
      </c>
      <c r="J165">
        <v>88600.68</v>
      </c>
      <c r="K165">
        <v>8860.07</v>
      </c>
      <c r="L165">
        <v>7.4999999999999997E-2</v>
      </c>
      <c r="M165">
        <v>5980.55</v>
      </c>
      <c r="N165">
        <v>85721.16</v>
      </c>
      <c r="O165" t="s">
        <v>35</v>
      </c>
    </row>
    <row r="166" spans="1:15" x14ac:dyDescent="0.35">
      <c r="A166" t="s">
        <v>216</v>
      </c>
      <c r="B166" s="2">
        <v>46238</v>
      </c>
      <c r="C166" t="s">
        <v>37</v>
      </c>
      <c r="D166" t="s">
        <v>38</v>
      </c>
      <c r="E166" t="s">
        <v>39</v>
      </c>
      <c r="F166" t="s">
        <v>40</v>
      </c>
      <c r="G166">
        <v>4</v>
      </c>
      <c r="H166">
        <v>-5000</v>
      </c>
      <c r="I166">
        <v>0.05</v>
      </c>
      <c r="J166">
        <v>647736.52</v>
      </c>
      <c r="K166">
        <v>32386.83</v>
      </c>
      <c r="L166">
        <v>0.1</v>
      </c>
      <c r="M166">
        <v>61534.97</v>
      </c>
      <c r="N166">
        <v>676884.66</v>
      </c>
      <c r="O166" t="s">
        <v>25</v>
      </c>
    </row>
    <row r="167" spans="1:15" x14ac:dyDescent="0.35">
      <c r="A167" t="s">
        <v>217</v>
      </c>
      <c r="B167" s="2">
        <v>46120</v>
      </c>
      <c r="C167" t="s">
        <v>42</v>
      </c>
      <c r="D167" t="s">
        <v>43</v>
      </c>
      <c r="E167" t="s">
        <v>44</v>
      </c>
      <c r="F167" t="s">
        <v>45</v>
      </c>
      <c r="G167">
        <v>4</v>
      </c>
      <c r="H167">
        <v>78272.08</v>
      </c>
      <c r="I167">
        <v>0.05</v>
      </c>
      <c r="J167">
        <v>313088.32</v>
      </c>
      <c r="K167">
        <v>15654.42</v>
      </c>
      <c r="L167">
        <v>7.4999999999999997E-2</v>
      </c>
      <c r="M167">
        <v>22307.54</v>
      </c>
      <c r="N167">
        <v>319741.44</v>
      </c>
      <c r="O167" t="s">
        <v>35</v>
      </c>
    </row>
    <row r="168" spans="1:15" x14ac:dyDescent="0.35">
      <c r="A168" t="s">
        <v>218</v>
      </c>
      <c r="B168" s="2">
        <v>46229</v>
      </c>
      <c r="C168" t="s">
        <v>47</v>
      </c>
      <c r="D168" t="s">
        <v>48</v>
      </c>
      <c r="E168" t="s">
        <v>49</v>
      </c>
      <c r="F168" t="s">
        <v>50</v>
      </c>
      <c r="G168">
        <v>3</v>
      </c>
      <c r="H168">
        <v>126160.54</v>
      </c>
      <c r="I168">
        <v>0.05</v>
      </c>
      <c r="J168">
        <v>378481.62</v>
      </c>
      <c r="K168">
        <v>18924.080000000002</v>
      </c>
      <c r="L168">
        <v>7.4999999999999997E-2</v>
      </c>
      <c r="M168">
        <v>26966.82</v>
      </c>
      <c r="N168">
        <v>386524.36</v>
      </c>
      <c r="O168" t="s">
        <v>20</v>
      </c>
    </row>
    <row r="169" spans="1:15" x14ac:dyDescent="0.35">
      <c r="A169" t="s">
        <v>219</v>
      </c>
      <c r="B169" s="2">
        <v>46180</v>
      </c>
      <c r="C169" t="s">
        <v>52</v>
      </c>
      <c r="D169" t="s">
        <v>53</v>
      </c>
      <c r="E169" t="s">
        <v>54</v>
      </c>
      <c r="F169" t="s">
        <v>50</v>
      </c>
      <c r="G169">
        <v>3</v>
      </c>
      <c r="H169">
        <v>105417.32</v>
      </c>
      <c r="I169">
        <v>0</v>
      </c>
      <c r="J169">
        <v>316251.96000000002</v>
      </c>
      <c r="K169">
        <v>0</v>
      </c>
      <c r="L169">
        <v>0.1</v>
      </c>
      <c r="M169">
        <v>31625.200000000001</v>
      </c>
      <c r="N169">
        <v>347877.16</v>
      </c>
      <c r="O169" t="s">
        <v>35</v>
      </c>
    </row>
    <row r="170" spans="1:15" x14ac:dyDescent="0.35">
      <c r="A170" t="s">
        <v>220</v>
      </c>
      <c r="B170" s="2">
        <v>46166</v>
      </c>
      <c r="C170" t="s">
        <v>56</v>
      </c>
      <c r="D170" t="s">
        <v>57</v>
      </c>
      <c r="E170" t="s">
        <v>58</v>
      </c>
      <c r="F170" t="s">
        <v>19</v>
      </c>
      <c r="G170">
        <v>3</v>
      </c>
      <c r="H170">
        <v>23798.03</v>
      </c>
      <c r="I170">
        <v>0.15</v>
      </c>
      <c r="J170">
        <v>71394.09</v>
      </c>
      <c r="K170">
        <v>10709.11</v>
      </c>
      <c r="L170">
        <v>7.4999999999999997E-2</v>
      </c>
      <c r="M170">
        <v>4551.37</v>
      </c>
      <c r="N170">
        <v>65236.35</v>
      </c>
      <c r="O170" t="s">
        <v>35</v>
      </c>
    </row>
    <row r="171" spans="1:15" x14ac:dyDescent="0.35">
      <c r="A171" t="s">
        <v>221</v>
      </c>
      <c r="B171" s="2">
        <v>46152</v>
      </c>
      <c r="C171" t="s">
        <v>60</v>
      </c>
      <c r="D171" t="s">
        <v>61</v>
      </c>
      <c r="E171" t="s">
        <v>62</v>
      </c>
      <c r="F171" t="s">
        <v>19</v>
      </c>
      <c r="G171">
        <v>2</v>
      </c>
      <c r="H171">
        <v>229425.84</v>
      </c>
      <c r="I171">
        <v>0.05</v>
      </c>
      <c r="J171">
        <v>458851.68</v>
      </c>
      <c r="K171">
        <v>22942.58</v>
      </c>
      <c r="L171">
        <v>7.4999999999999997E-2</v>
      </c>
      <c r="M171">
        <v>32693.18</v>
      </c>
      <c r="N171">
        <v>468602.28</v>
      </c>
      <c r="O171" t="s">
        <v>35</v>
      </c>
    </row>
    <row r="172" spans="1:15" x14ac:dyDescent="0.35">
      <c r="A172" t="s">
        <v>222</v>
      </c>
      <c r="B172" s="2">
        <v>46160</v>
      </c>
      <c r="C172" t="s">
        <v>16</v>
      </c>
      <c r="D172" t="s">
        <v>17</v>
      </c>
      <c r="E172" t="s">
        <v>18</v>
      </c>
      <c r="F172" t="s">
        <v>19</v>
      </c>
      <c r="G172">
        <v>4</v>
      </c>
      <c r="H172">
        <v>631346.79</v>
      </c>
      <c r="I172">
        <v>0.1</v>
      </c>
      <c r="J172">
        <v>2525387.16</v>
      </c>
      <c r="K172">
        <v>252538.72</v>
      </c>
      <c r="L172">
        <v>7.4999999999999997E-2</v>
      </c>
      <c r="M172">
        <v>170463.63</v>
      </c>
      <c r="N172">
        <v>2443312.0699999998</v>
      </c>
      <c r="O172" t="s">
        <v>35</v>
      </c>
    </row>
    <row r="173" spans="1:15" x14ac:dyDescent="0.35">
      <c r="A173" t="s">
        <v>223</v>
      </c>
      <c r="B173" s="2">
        <v>46156</v>
      </c>
      <c r="C173" t="s">
        <v>22</v>
      </c>
      <c r="D173" t="s">
        <v>23</v>
      </c>
      <c r="E173" t="s">
        <v>24</v>
      </c>
      <c r="F173" t="s">
        <v>19</v>
      </c>
      <c r="G173">
        <v>2</v>
      </c>
      <c r="H173">
        <v>18139.98</v>
      </c>
      <c r="I173">
        <v>0.05</v>
      </c>
      <c r="J173">
        <v>36279.96</v>
      </c>
      <c r="K173">
        <v>1814</v>
      </c>
      <c r="L173">
        <v>0.1</v>
      </c>
      <c r="M173">
        <v>3446.6</v>
      </c>
      <c r="N173">
        <v>37912.559999999998</v>
      </c>
      <c r="O173" t="s">
        <v>35</v>
      </c>
    </row>
    <row r="174" spans="1:15" x14ac:dyDescent="0.35">
      <c r="A174" t="s">
        <v>224</v>
      </c>
      <c r="B174" s="2">
        <v>46099</v>
      </c>
      <c r="C174" t="s">
        <v>27</v>
      </c>
      <c r="D174" t="s">
        <v>28</v>
      </c>
      <c r="E174" t="s">
        <v>29</v>
      </c>
      <c r="F174" t="s">
        <v>30</v>
      </c>
      <c r="G174">
        <v>2</v>
      </c>
      <c r="H174">
        <v>88735.6</v>
      </c>
      <c r="I174">
        <v>0.1</v>
      </c>
      <c r="J174">
        <v>177471.2</v>
      </c>
      <c r="K174">
        <v>17747.12</v>
      </c>
      <c r="L174">
        <v>7.4999999999999997E-2</v>
      </c>
      <c r="M174">
        <v>11979.31</v>
      </c>
      <c r="N174">
        <v>171703.39</v>
      </c>
      <c r="O174" t="s">
        <v>20</v>
      </c>
    </row>
    <row r="175" spans="1:15" x14ac:dyDescent="0.35">
      <c r="A175" t="s">
        <v>225</v>
      </c>
      <c r="B175" s="2">
        <v>46189</v>
      </c>
      <c r="C175" t="s">
        <v>32</v>
      </c>
      <c r="D175" t="s">
        <v>33</v>
      </c>
      <c r="E175" t="s">
        <v>34</v>
      </c>
      <c r="F175" t="s">
        <v>30</v>
      </c>
      <c r="G175">
        <v>3</v>
      </c>
      <c r="H175">
        <v>11948.48</v>
      </c>
      <c r="I175">
        <v>0.05</v>
      </c>
      <c r="J175">
        <v>35845.440000000002</v>
      </c>
      <c r="K175">
        <v>1792.27</v>
      </c>
      <c r="L175">
        <v>7.4999999999999997E-2</v>
      </c>
      <c r="M175">
        <v>2553.9899999999998</v>
      </c>
      <c r="N175">
        <v>36607.160000000003</v>
      </c>
      <c r="O175" t="s">
        <v>35</v>
      </c>
    </row>
    <row r="176" spans="1:15" x14ac:dyDescent="0.35">
      <c r="A176" t="s">
        <v>226</v>
      </c>
      <c r="B176" s="2">
        <v>46204</v>
      </c>
      <c r="C176" t="s">
        <v>37</v>
      </c>
      <c r="D176" t="s">
        <v>38</v>
      </c>
      <c r="E176" t="s">
        <v>39</v>
      </c>
      <c r="F176" t="s">
        <v>40</v>
      </c>
      <c r="G176">
        <v>1</v>
      </c>
      <c r="H176">
        <v>158417.46</v>
      </c>
      <c r="I176">
        <v>0.15</v>
      </c>
      <c r="J176">
        <v>158417.46</v>
      </c>
      <c r="K176">
        <v>23762.62</v>
      </c>
      <c r="L176">
        <v>0.1</v>
      </c>
      <c r="M176">
        <v>13465.48</v>
      </c>
      <c r="N176">
        <v>148120.32000000001</v>
      </c>
      <c r="O176" t="s">
        <v>35</v>
      </c>
    </row>
    <row r="177" spans="1:15" x14ac:dyDescent="0.35">
      <c r="A177" t="s">
        <v>227</v>
      </c>
      <c r="B177" s="2">
        <v>46061</v>
      </c>
      <c r="C177" t="s">
        <v>42</v>
      </c>
      <c r="D177" t="s">
        <v>43</v>
      </c>
      <c r="E177" t="s">
        <v>44</v>
      </c>
      <c r="F177" t="s">
        <v>45</v>
      </c>
      <c r="G177">
        <v>3</v>
      </c>
      <c r="H177">
        <v>90961.43</v>
      </c>
      <c r="I177">
        <v>0.15</v>
      </c>
      <c r="J177">
        <v>272884.28999999998</v>
      </c>
      <c r="K177">
        <v>40932.639999999999</v>
      </c>
      <c r="L177">
        <v>7.4999999999999997E-2</v>
      </c>
      <c r="M177">
        <v>17396.37</v>
      </c>
      <c r="N177">
        <v>249348.02</v>
      </c>
      <c r="O177" t="s">
        <v>25</v>
      </c>
    </row>
    <row r="178" spans="1:15" x14ac:dyDescent="0.35">
      <c r="A178" t="s">
        <v>228</v>
      </c>
      <c r="B178" s="2">
        <v>46037</v>
      </c>
      <c r="C178" t="s">
        <v>47</v>
      </c>
      <c r="D178" t="s">
        <v>48</v>
      </c>
      <c r="E178" t="s">
        <v>49</v>
      </c>
      <c r="F178" t="s">
        <v>50</v>
      </c>
      <c r="G178">
        <v>6</v>
      </c>
      <c r="H178">
        <v>111323.42</v>
      </c>
      <c r="I178">
        <v>0</v>
      </c>
      <c r="J178">
        <v>667940.52</v>
      </c>
      <c r="K178">
        <v>0</v>
      </c>
      <c r="L178">
        <v>0.1</v>
      </c>
      <c r="M178">
        <v>66794.05</v>
      </c>
      <c r="N178">
        <v>734734.57</v>
      </c>
      <c r="O178" t="s">
        <v>20</v>
      </c>
    </row>
    <row r="179" spans="1:15" x14ac:dyDescent="0.35">
      <c r="A179" t="s">
        <v>229</v>
      </c>
      <c r="B179" s="2">
        <v>46191</v>
      </c>
      <c r="C179" t="s">
        <v>52</v>
      </c>
      <c r="D179" t="s">
        <v>53</v>
      </c>
      <c r="E179" t="s">
        <v>54</v>
      </c>
      <c r="F179" t="s">
        <v>50</v>
      </c>
      <c r="G179">
        <v>6</v>
      </c>
      <c r="H179">
        <v>104792.59</v>
      </c>
      <c r="I179">
        <v>0.1</v>
      </c>
      <c r="J179">
        <v>628755.54</v>
      </c>
      <c r="K179">
        <v>62875.55</v>
      </c>
      <c r="L179">
        <v>7.4999999999999997E-2</v>
      </c>
      <c r="M179">
        <v>42441</v>
      </c>
      <c r="N179">
        <v>608320.99</v>
      </c>
      <c r="O179" t="s">
        <v>20</v>
      </c>
    </row>
    <row r="180" spans="1:15" x14ac:dyDescent="0.35">
      <c r="A180" t="s">
        <v>230</v>
      </c>
      <c r="B180" s="2">
        <v>46115</v>
      </c>
      <c r="C180" t="s">
        <v>56</v>
      </c>
      <c r="D180" t="s">
        <v>57</v>
      </c>
      <c r="E180" t="s">
        <v>58</v>
      </c>
      <c r="F180" t="s">
        <v>19</v>
      </c>
      <c r="G180">
        <v>3</v>
      </c>
      <c r="H180">
        <v>25535.03</v>
      </c>
      <c r="I180">
        <v>0.05</v>
      </c>
      <c r="J180">
        <v>76605.09</v>
      </c>
      <c r="K180">
        <v>3830.25</v>
      </c>
      <c r="L180">
        <v>0.1</v>
      </c>
      <c r="M180">
        <v>7277.48</v>
      </c>
      <c r="N180">
        <v>80052.320000000007</v>
      </c>
      <c r="O180" t="s">
        <v>25</v>
      </c>
    </row>
    <row r="181" spans="1:15" x14ac:dyDescent="0.35">
      <c r="A181" t="s">
        <v>231</v>
      </c>
      <c r="B181" s="2">
        <v>46130</v>
      </c>
      <c r="C181" t="s">
        <v>60</v>
      </c>
      <c r="D181" t="s">
        <v>61</v>
      </c>
      <c r="E181" t="s">
        <v>62</v>
      </c>
      <c r="F181" t="s">
        <v>19</v>
      </c>
      <c r="G181">
        <v>1</v>
      </c>
      <c r="H181">
        <v>226440.97</v>
      </c>
      <c r="I181">
        <v>0.15</v>
      </c>
      <c r="J181">
        <v>226440.97</v>
      </c>
      <c r="K181">
        <v>33966.15</v>
      </c>
      <c r="L181">
        <v>7.4999999999999997E-2</v>
      </c>
      <c r="M181">
        <v>14435.61</v>
      </c>
      <c r="N181">
        <v>206910.43</v>
      </c>
      <c r="O181" t="s">
        <v>35</v>
      </c>
    </row>
    <row r="182" spans="1:15" x14ac:dyDescent="0.35">
      <c r="A182" t="s">
        <v>232</v>
      </c>
      <c r="B182" s="2">
        <v>46089</v>
      </c>
      <c r="C182" t="s">
        <v>16</v>
      </c>
      <c r="D182" t="s">
        <v>17</v>
      </c>
      <c r="E182" t="s">
        <v>18</v>
      </c>
      <c r="F182" t="s">
        <v>19</v>
      </c>
      <c r="G182">
        <v>3</v>
      </c>
      <c r="H182">
        <v>662906.56000000006</v>
      </c>
      <c r="I182">
        <v>0</v>
      </c>
      <c r="J182">
        <v>1988719.68</v>
      </c>
      <c r="K182">
        <v>0</v>
      </c>
      <c r="L182">
        <v>7.4999999999999997E-2</v>
      </c>
      <c r="M182">
        <v>149153.98000000001</v>
      </c>
      <c r="N182">
        <v>2137873.66</v>
      </c>
      <c r="O182" t="s">
        <v>35</v>
      </c>
    </row>
    <row r="183" spans="1:15" x14ac:dyDescent="0.35">
      <c r="A183" t="s">
        <v>233</v>
      </c>
      <c r="B183" s="2">
        <v>46220</v>
      </c>
      <c r="C183" t="s">
        <v>22</v>
      </c>
      <c r="D183" t="s">
        <v>23</v>
      </c>
      <c r="E183" t="s">
        <v>24</v>
      </c>
      <c r="F183" t="s">
        <v>19</v>
      </c>
      <c r="G183">
        <v>1</v>
      </c>
      <c r="H183">
        <v>17583.439999999999</v>
      </c>
      <c r="I183">
        <v>0.1</v>
      </c>
      <c r="J183">
        <v>17583.439999999999</v>
      </c>
      <c r="K183">
        <v>1758.34</v>
      </c>
      <c r="L183">
        <v>7.4999999999999997E-2</v>
      </c>
      <c r="M183">
        <v>1186.8800000000001</v>
      </c>
      <c r="N183">
        <v>17011.98</v>
      </c>
      <c r="O183" t="s">
        <v>35</v>
      </c>
    </row>
    <row r="184" spans="1:15" x14ac:dyDescent="0.35">
      <c r="A184" t="s">
        <v>234</v>
      </c>
      <c r="B184" s="2">
        <v>46093</v>
      </c>
      <c r="C184" t="s">
        <v>27</v>
      </c>
      <c r="D184" t="s">
        <v>28</v>
      </c>
      <c r="E184" t="s">
        <v>29</v>
      </c>
      <c r="F184" t="s">
        <v>30</v>
      </c>
      <c r="G184">
        <v>3</v>
      </c>
      <c r="H184">
        <v>95651.31</v>
      </c>
      <c r="I184">
        <v>0.05</v>
      </c>
      <c r="J184">
        <v>286953.93</v>
      </c>
      <c r="K184">
        <v>14347.7</v>
      </c>
      <c r="L184">
        <v>0.1</v>
      </c>
      <c r="M184">
        <v>27260.62</v>
      </c>
      <c r="N184">
        <v>299866.84999999998</v>
      </c>
      <c r="O184" t="s">
        <v>20</v>
      </c>
    </row>
    <row r="185" spans="1:15" x14ac:dyDescent="0.35">
      <c r="A185" t="s">
        <v>235</v>
      </c>
      <c r="B185" s="2">
        <v>46183</v>
      </c>
      <c r="C185" t="s">
        <v>32</v>
      </c>
      <c r="D185" t="s">
        <v>33</v>
      </c>
      <c r="E185" t="s">
        <v>34</v>
      </c>
      <c r="F185" t="s">
        <v>30</v>
      </c>
      <c r="G185">
        <v>2</v>
      </c>
      <c r="H185">
        <v>11307.4</v>
      </c>
      <c r="I185">
        <v>0.1</v>
      </c>
      <c r="J185">
        <v>22614.799999999999</v>
      </c>
      <c r="K185">
        <v>2261.48</v>
      </c>
      <c r="L185">
        <v>7.4999999999999997E-2</v>
      </c>
      <c r="M185">
        <v>1526.5</v>
      </c>
      <c r="N185">
        <v>21879.82</v>
      </c>
      <c r="O185" t="s">
        <v>35</v>
      </c>
    </row>
    <row r="186" spans="1:15" x14ac:dyDescent="0.35">
      <c r="A186" t="s">
        <v>236</v>
      </c>
      <c r="B186" s="2">
        <v>46064</v>
      </c>
      <c r="C186" t="s">
        <v>37</v>
      </c>
      <c r="D186" t="s">
        <v>38</v>
      </c>
      <c r="E186" t="s">
        <v>39</v>
      </c>
      <c r="F186" t="s">
        <v>40</v>
      </c>
      <c r="G186">
        <v>6</v>
      </c>
      <c r="H186">
        <v>159453.42000000001</v>
      </c>
      <c r="I186">
        <v>0.15</v>
      </c>
      <c r="J186">
        <v>956720.52</v>
      </c>
      <c r="K186">
        <v>143508.07999999999</v>
      </c>
      <c r="L186">
        <v>7.4999999999999997E-2</v>
      </c>
      <c r="M186">
        <v>60990.93</v>
      </c>
      <c r="N186">
        <v>874203.37</v>
      </c>
      <c r="O186" t="s">
        <v>20</v>
      </c>
    </row>
    <row r="187" spans="1:15" x14ac:dyDescent="0.35">
      <c r="A187" t="s">
        <v>237</v>
      </c>
      <c r="B187" s="2">
        <v>46222</v>
      </c>
      <c r="C187" t="s">
        <v>42</v>
      </c>
      <c r="D187" t="s">
        <v>43</v>
      </c>
      <c r="E187" t="s">
        <v>44</v>
      </c>
      <c r="F187" t="s">
        <v>45</v>
      </c>
      <c r="G187">
        <v>5</v>
      </c>
      <c r="H187">
        <v>81579.45</v>
      </c>
      <c r="I187">
        <v>0.1</v>
      </c>
      <c r="J187">
        <v>407897.25</v>
      </c>
      <c r="K187">
        <v>40789.730000000003</v>
      </c>
      <c r="L187">
        <v>7.4999999999999997E-2</v>
      </c>
      <c r="M187">
        <v>27533.06</v>
      </c>
      <c r="N187">
        <v>394640.58</v>
      </c>
      <c r="O187" t="s">
        <v>20</v>
      </c>
    </row>
    <row r="188" spans="1:15" x14ac:dyDescent="0.35">
      <c r="A188" t="s">
        <v>238</v>
      </c>
      <c r="B188" s="2">
        <v>46144</v>
      </c>
      <c r="C188" t="s">
        <v>47</v>
      </c>
      <c r="D188" t="s">
        <v>48</v>
      </c>
      <c r="E188" t="s">
        <v>49</v>
      </c>
      <c r="F188" t="s">
        <v>50</v>
      </c>
      <c r="G188">
        <v>2</v>
      </c>
      <c r="H188">
        <v>119884.44</v>
      </c>
      <c r="I188">
        <v>0.05</v>
      </c>
      <c r="J188">
        <v>239768.88</v>
      </c>
      <c r="K188">
        <v>11988.44</v>
      </c>
      <c r="L188">
        <v>7.4999999999999997E-2</v>
      </c>
      <c r="M188">
        <v>17083.53</v>
      </c>
      <c r="N188">
        <v>244863.97</v>
      </c>
      <c r="O188" t="s">
        <v>20</v>
      </c>
    </row>
    <row r="189" spans="1:15" x14ac:dyDescent="0.35">
      <c r="A189" t="s">
        <v>239</v>
      </c>
      <c r="B189" s="2">
        <v>46206</v>
      </c>
      <c r="C189" t="s">
        <v>52</v>
      </c>
      <c r="D189" t="s">
        <v>53</v>
      </c>
      <c r="E189" t="s">
        <v>54</v>
      </c>
      <c r="F189" t="s">
        <v>50</v>
      </c>
      <c r="G189">
        <v>7</v>
      </c>
      <c r="H189">
        <v>98061.15</v>
      </c>
      <c r="I189">
        <v>0</v>
      </c>
      <c r="J189">
        <v>686428.05</v>
      </c>
      <c r="K189">
        <v>0</v>
      </c>
      <c r="L189">
        <v>0.1</v>
      </c>
      <c r="M189">
        <v>68642.81</v>
      </c>
      <c r="N189">
        <v>755070.86</v>
      </c>
      <c r="O189" t="s">
        <v>35</v>
      </c>
    </row>
    <row r="190" spans="1:15" x14ac:dyDescent="0.35">
      <c r="A190" t="s">
        <v>240</v>
      </c>
      <c r="B190" s="2">
        <v>46094</v>
      </c>
      <c r="C190" t="s">
        <v>56</v>
      </c>
      <c r="D190" t="s">
        <v>57</v>
      </c>
      <c r="E190" t="s">
        <v>58</v>
      </c>
      <c r="F190" t="s">
        <v>19</v>
      </c>
      <c r="G190">
        <v>5</v>
      </c>
      <c r="H190">
        <v>25159.439999999999</v>
      </c>
      <c r="I190">
        <v>0</v>
      </c>
      <c r="J190">
        <v>125797.2</v>
      </c>
      <c r="K190">
        <v>0</v>
      </c>
      <c r="L190">
        <v>7.4999999999999997E-2</v>
      </c>
      <c r="M190">
        <v>9434.7900000000009</v>
      </c>
      <c r="N190">
        <v>135231.99</v>
      </c>
      <c r="O190" t="s">
        <v>20</v>
      </c>
    </row>
    <row r="191" spans="1:15" x14ac:dyDescent="0.35">
      <c r="A191" t="s">
        <v>241</v>
      </c>
      <c r="B191" s="2">
        <v>46190</v>
      </c>
      <c r="C191" t="s">
        <v>60</v>
      </c>
      <c r="D191" t="s">
        <v>61</v>
      </c>
      <c r="E191" t="s">
        <v>62</v>
      </c>
      <c r="F191" t="s">
        <v>19</v>
      </c>
      <c r="G191">
        <v>2</v>
      </c>
      <c r="H191">
        <v>202829.55</v>
      </c>
      <c r="I191">
        <v>0.1</v>
      </c>
      <c r="J191">
        <v>405659.1</v>
      </c>
      <c r="K191">
        <v>40565.910000000003</v>
      </c>
      <c r="L191">
        <v>7.4999999999999997E-2</v>
      </c>
      <c r="M191">
        <v>27381.99</v>
      </c>
      <c r="N191">
        <v>392475.18</v>
      </c>
      <c r="O191" t="s">
        <v>35</v>
      </c>
    </row>
    <row r="192" spans="1:15" x14ac:dyDescent="0.35">
      <c r="A192" t="s">
        <v>242</v>
      </c>
      <c r="B192" s="2">
        <v>46100</v>
      </c>
      <c r="C192" t="s">
        <v>16</v>
      </c>
      <c r="D192" t="s">
        <v>17</v>
      </c>
      <c r="E192" t="s">
        <v>18</v>
      </c>
      <c r="F192" t="s">
        <v>19</v>
      </c>
      <c r="G192">
        <v>3</v>
      </c>
      <c r="H192">
        <v>660299.05000000005</v>
      </c>
      <c r="I192">
        <v>0.15</v>
      </c>
      <c r="J192">
        <v>1980897.15</v>
      </c>
      <c r="K192">
        <v>297134.57</v>
      </c>
      <c r="L192">
        <v>7.4999999999999997E-2</v>
      </c>
      <c r="M192">
        <v>126282.19</v>
      </c>
      <c r="N192">
        <v>1810044.77</v>
      </c>
      <c r="O192" t="s">
        <v>35</v>
      </c>
    </row>
    <row r="193" spans="1:15" x14ac:dyDescent="0.35">
      <c r="A193" t="s">
        <v>243</v>
      </c>
      <c r="B193" s="2">
        <v>46072</v>
      </c>
      <c r="C193" t="s">
        <v>22</v>
      </c>
      <c r="D193" t="s">
        <v>23</v>
      </c>
      <c r="E193" t="s">
        <v>24</v>
      </c>
      <c r="F193" t="s">
        <v>19</v>
      </c>
      <c r="G193">
        <v>6</v>
      </c>
      <c r="H193">
        <v>17714.45</v>
      </c>
      <c r="I193">
        <v>0.1</v>
      </c>
      <c r="J193">
        <v>106286.7</v>
      </c>
      <c r="K193">
        <v>10628.67</v>
      </c>
      <c r="L193">
        <v>0.1</v>
      </c>
      <c r="M193">
        <v>9565.7999999999993</v>
      </c>
      <c r="N193">
        <v>105223.83</v>
      </c>
      <c r="O193" t="s">
        <v>20</v>
      </c>
    </row>
    <row r="194" spans="1:15" x14ac:dyDescent="0.35">
      <c r="A194" t="s">
        <v>244</v>
      </c>
      <c r="B194" s="2">
        <v>46243</v>
      </c>
      <c r="C194" t="s">
        <v>27</v>
      </c>
      <c r="D194" t="s">
        <v>28</v>
      </c>
      <c r="E194" t="s">
        <v>29</v>
      </c>
      <c r="F194" t="s">
        <v>30</v>
      </c>
      <c r="G194">
        <v>2</v>
      </c>
      <c r="H194">
        <v>96310.69</v>
      </c>
      <c r="I194">
        <v>0.05</v>
      </c>
      <c r="J194">
        <v>192621.38</v>
      </c>
      <c r="K194">
        <v>9631.07</v>
      </c>
      <c r="L194">
        <v>0.1</v>
      </c>
      <c r="M194">
        <v>18299.03</v>
      </c>
      <c r="N194">
        <v>201289.34</v>
      </c>
      <c r="O194" t="s">
        <v>35</v>
      </c>
    </row>
    <row r="195" spans="1:15" x14ac:dyDescent="0.35">
      <c r="A195" t="s">
        <v>245</v>
      </c>
      <c r="B195" s="2">
        <v>46094</v>
      </c>
      <c r="C195" t="s">
        <v>32</v>
      </c>
      <c r="D195" t="s">
        <v>33</v>
      </c>
      <c r="E195" t="s">
        <v>34</v>
      </c>
      <c r="F195" t="s">
        <v>30</v>
      </c>
      <c r="G195">
        <v>4</v>
      </c>
      <c r="H195">
        <v>12178.49</v>
      </c>
      <c r="I195">
        <v>0.15</v>
      </c>
      <c r="J195">
        <v>48713.96</v>
      </c>
      <c r="K195">
        <v>7307.09</v>
      </c>
      <c r="L195">
        <v>0.1</v>
      </c>
      <c r="M195">
        <v>4140.6899999999996</v>
      </c>
      <c r="N195">
        <v>45547.56</v>
      </c>
      <c r="O195" t="s">
        <v>20</v>
      </c>
    </row>
    <row r="196" spans="1:15" x14ac:dyDescent="0.35">
      <c r="A196" t="s">
        <v>246</v>
      </c>
      <c r="B196" s="2">
        <v>46118</v>
      </c>
      <c r="C196" t="s">
        <v>37</v>
      </c>
      <c r="D196" t="s">
        <v>38</v>
      </c>
      <c r="E196" t="s">
        <v>39</v>
      </c>
      <c r="F196" t="s">
        <v>40</v>
      </c>
      <c r="G196">
        <v>5</v>
      </c>
      <c r="H196">
        <v>154973.73000000001</v>
      </c>
      <c r="I196">
        <v>0.05</v>
      </c>
      <c r="J196">
        <v>774868.65</v>
      </c>
      <c r="K196">
        <v>38743.43</v>
      </c>
      <c r="L196">
        <v>7.4999999999999997E-2</v>
      </c>
      <c r="M196">
        <v>55209.39</v>
      </c>
      <c r="N196">
        <v>791334.61</v>
      </c>
      <c r="O196" t="s">
        <v>35</v>
      </c>
    </row>
    <row r="197" spans="1:15" x14ac:dyDescent="0.35">
      <c r="A197" t="s">
        <v>247</v>
      </c>
      <c r="B197" s="2">
        <v>46066</v>
      </c>
      <c r="C197" t="s">
        <v>42</v>
      </c>
      <c r="D197" t="s">
        <v>43</v>
      </c>
      <c r="E197" t="s">
        <v>44</v>
      </c>
      <c r="F197" t="s">
        <v>45</v>
      </c>
      <c r="G197">
        <v>1</v>
      </c>
      <c r="H197">
        <v>83968.18</v>
      </c>
      <c r="I197">
        <v>0</v>
      </c>
      <c r="J197">
        <v>83968.18</v>
      </c>
      <c r="K197">
        <v>0</v>
      </c>
      <c r="L197">
        <v>0.1</v>
      </c>
      <c r="M197">
        <v>8396.82</v>
      </c>
      <c r="N197">
        <v>92365</v>
      </c>
      <c r="O197" t="s">
        <v>20</v>
      </c>
    </row>
    <row r="198" spans="1:15" x14ac:dyDescent="0.35">
      <c r="A198" t="s">
        <v>248</v>
      </c>
      <c r="B198" s="2">
        <v>46175</v>
      </c>
      <c r="C198" t="s">
        <v>47</v>
      </c>
      <c r="D198" t="s">
        <v>48</v>
      </c>
      <c r="E198" t="s">
        <v>49</v>
      </c>
      <c r="F198" t="s">
        <v>50</v>
      </c>
      <c r="G198">
        <v>3</v>
      </c>
      <c r="H198">
        <v>119056.12</v>
      </c>
      <c r="I198">
        <v>0.05</v>
      </c>
      <c r="J198">
        <v>357168.36</v>
      </c>
      <c r="K198">
        <v>17858.419999999998</v>
      </c>
      <c r="L198">
        <v>7.4999999999999997E-2</v>
      </c>
      <c r="M198">
        <v>25448.25</v>
      </c>
      <c r="N198">
        <v>364758.19</v>
      </c>
      <c r="O198" t="s">
        <v>35</v>
      </c>
    </row>
    <row r="199" spans="1:15" x14ac:dyDescent="0.35">
      <c r="A199" t="s">
        <v>249</v>
      </c>
      <c r="B199" s="2">
        <v>46089</v>
      </c>
      <c r="C199" t="s">
        <v>52</v>
      </c>
      <c r="D199" t="s">
        <v>53</v>
      </c>
      <c r="E199" t="s">
        <v>54</v>
      </c>
      <c r="F199" t="s">
        <v>50</v>
      </c>
      <c r="G199">
        <v>4</v>
      </c>
      <c r="H199">
        <v>93994.6</v>
      </c>
      <c r="I199">
        <v>0</v>
      </c>
      <c r="J199">
        <v>375978.4</v>
      </c>
      <c r="K199">
        <v>0</v>
      </c>
      <c r="L199">
        <v>7.4999999999999997E-2</v>
      </c>
      <c r="M199">
        <v>28198.38</v>
      </c>
      <c r="N199">
        <v>404176.78</v>
      </c>
      <c r="O199" t="s">
        <v>35</v>
      </c>
    </row>
    <row r="200" spans="1:15" x14ac:dyDescent="0.35">
      <c r="A200" t="s">
        <v>250</v>
      </c>
      <c r="B200" s="2">
        <v>46227</v>
      </c>
      <c r="C200" t="s">
        <v>56</v>
      </c>
      <c r="D200" t="s">
        <v>57</v>
      </c>
      <c r="E200" t="s">
        <v>58</v>
      </c>
      <c r="F200" t="s">
        <v>19</v>
      </c>
      <c r="G200">
        <v>3</v>
      </c>
      <c r="H200">
        <v>25365.1</v>
      </c>
      <c r="I200">
        <v>0</v>
      </c>
      <c r="J200">
        <v>76095.3</v>
      </c>
      <c r="K200">
        <v>0</v>
      </c>
      <c r="L200">
        <v>7.4999999999999997E-2</v>
      </c>
      <c r="M200">
        <v>5707.15</v>
      </c>
      <c r="N200">
        <v>81802.45</v>
      </c>
      <c r="O200" t="s">
        <v>20</v>
      </c>
    </row>
    <row r="201" spans="1:15" x14ac:dyDescent="0.35">
      <c r="A201" t="s">
        <v>251</v>
      </c>
      <c r="B201" s="2">
        <v>46195</v>
      </c>
      <c r="C201" t="s">
        <v>60</v>
      </c>
      <c r="D201" t="s">
        <v>61</v>
      </c>
      <c r="E201" t="s">
        <v>62</v>
      </c>
      <c r="F201" t="s">
        <v>19</v>
      </c>
      <c r="G201">
        <v>2</v>
      </c>
      <c r="H201">
        <v>230660.44</v>
      </c>
      <c r="I201">
        <v>0</v>
      </c>
      <c r="J201">
        <v>461320.88</v>
      </c>
      <c r="K201">
        <v>0</v>
      </c>
      <c r="L201">
        <v>0.1</v>
      </c>
      <c r="M201">
        <v>46132.09</v>
      </c>
      <c r="N201">
        <v>507452.97</v>
      </c>
      <c r="O201" t="s">
        <v>35</v>
      </c>
    </row>
    <row r="202" spans="1:15" x14ac:dyDescent="0.35">
      <c r="A202" t="s">
        <v>252</v>
      </c>
      <c r="B202" s="2">
        <v>46156</v>
      </c>
      <c r="C202" t="s">
        <v>16</v>
      </c>
      <c r="D202" t="s">
        <v>17</v>
      </c>
      <c r="E202" t="s">
        <v>18</v>
      </c>
      <c r="F202" t="s">
        <v>19</v>
      </c>
      <c r="G202">
        <v>4</v>
      </c>
      <c r="H202">
        <v>653889.14</v>
      </c>
      <c r="I202">
        <v>0.1</v>
      </c>
      <c r="J202">
        <v>2615556.56</v>
      </c>
      <c r="K202">
        <v>261555.66</v>
      </c>
      <c r="L202">
        <v>0.1</v>
      </c>
      <c r="M202">
        <v>235400.09</v>
      </c>
      <c r="N202">
        <v>2589400.9900000002</v>
      </c>
      <c r="O202" t="s">
        <v>35</v>
      </c>
    </row>
    <row r="203" spans="1:15" x14ac:dyDescent="0.35">
      <c r="A203" t="s">
        <v>253</v>
      </c>
      <c r="B203" s="2">
        <v>46197</v>
      </c>
      <c r="C203" t="s">
        <v>22</v>
      </c>
      <c r="D203" t="s">
        <v>23</v>
      </c>
      <c r="E203" t="s">
        <v>24</v>
      </c>
      <c r="F203" t="s">
        <v>19</v>
      </c>
      <c r="G203">
        <v>3</v>
      </c>
      <c r="H203">
        <v>18684</v>
      </c>
      <c r="I203">
        <v>0</v>
      </c>
      <c r="J203">
        <v>56052</v>
      </c>
      <c r="K203">
        <v>0</v>
      </c>
      <c r="L203">
        <v>0.1</v>
      </c>
      <c r="M203">
        <v>5605.2</v>
      </c>
      <c r="N203">
        <v>61657.2</v>
      </c>
      <c r="O203" t="s">
        <v>35</v>
      </c>
    </row>
    <row r="204" spans="1:15" x14ac:dyDescent="0.35">
      <c r="A204" t="s">
        <v>254</v>
      </c>
      <c r="B204" s="2">
        <v>46225</v>
      </c>
      <c r="C204" t="s">
        <v>27</v>
      </c>
      <c r="D204" t="s">
        <v>28</v>
      </c>
      <c r="E204" t="s">
        <v>29</v>
      </c>
      <c r="F204" t="s">
        <v>30</v>
      </c>
      <c r="G204">
        <v>3</v>
      </c>
      <c r="H204">
        <v>89541.03</v>
      </c>
      <c r="I204">
        <v>0.15</v>
      </c>
      <c r="J204">
        <v>268623.09000000003</v>
      </c>
      <c r="K204">
        <v>40293.46</v>
      </c>
      <c r="L204">
        <v>7.4999999999999997E-2</v>
      </c>
      <c r="M204">
        <v>17124.72</v>
      </c>
      <c r="N204">
        <v>245454.35</v>
      </c>
      <c r="O204" t="s">
        <v>35</v>
      </c>
    </row>
    <row r="205" spans="1:15" x14ac:dyDescent="0.35">
      <c r="A205" t="s">
        <v>255</v>
      </c>
      <c r="B205" s="2">
        <v>46089</v>
      </c>
      <c r="C205" t="s">
        <v>32</v>
      </c>
      <c r="D205" t="s">
        <v>33</v>
      </c>
      <c r="E205" t="s">
        <v>34</v>
      </c>
      <c r="F205" t="s">
        <v>30</v>
      </c>
      <c r="G205">
        <v>5</v>
      </c>
      <c r="H205">
        <v>12796.5</v>
      </c>
      <c r="I205">
        <v>0</v>
      </c>
      <c r="J205">
        <v>63982.5</v>
      </c>
      <c r="K205">
        <v>0</v>
      </c>
      <c r="L205">
        <v>7.4999999999999997E-2</v>
      </c>
      <c r="M205">
        <v>4798.6899999999996</v>
      </c>
      <c r="N205">
        <v>68781.19</v>
      </c>
      <c r="O205" t="s">
        <v>35</v>
      </c>
    </row>
    <row r="206" spans="1:15" x14ac:dyDescent="0.35">
      <c r="A206" t="s">
        <v>256</v>
      </c>
      <c r="B206" s="2">
        <v>46225</v>
      </c>
      <c r="C206" t="s">
        <v>37</v>
      </c>
      <c r="D206" t="s">
        <v>38</v>
      </c>
      <c r="E206" t="s">
        <v>39</v>
      </c>
      <c r="F206" t="s">
        <v>40</v>
      </c>
      <c r="G206">
        <v>2</v>
      </c>
      <c r="H206">
        <v>138314.26999999999</v>
      </c>
      <c r="I206">
        <v>0</v>
      </c>
      <c r="J206">
        <v>276628.53999999998</v>
      </c>
      <c r="K206">
        <v>0</v>
      </c>
      <c r="L206">
        <v>7.4999999999999997E-2</v>
      </c>
      <c r="M206">
        <v>20747.14</v>
      </c>
      <c r="N206">
        <v>297375.68</v>
      </c>
      <c r="O206" t="s">
        <v>25</v>
      </c>
    </row>
    <row r="207" spans="1:15" x14ac:dyDescent="0.35">
      <c r="A207" t="s">
        <v>257</v>
      </c>
      <c r="B207" s="2">
        <v>46246</v>
      </c>
      <c r="C207" t="s">
        <v>42</v>
      </c>
      <c r="D207" t="s">
        <v>43</v>
      </c>
      <c r="E207" t="s">
        <v>44</v>
      </c>
      <c r="F207" t="s">
        <v>45</v>
      </c>
      <c r="G207">
        <v>1</v>
      </c>
      <c r="H207">
        <v>80221.81</v>
      </c>
      <c r="I207">
        <v>0.05</v>
      </c>
      <c r="J207">
        <v>80221.81</v>
      </c>
      <c r="K207">
        <v>4011.09</v>
      </c>
      <c r="L207">
        <v>0.1</v>
      </c>
      <c r="M207">
        <v>7621.07</v>
      </c>
      <c r="N207">
        <v>83831.789999999994</v>
      </c>
      <c r="O207" t="s">
        <v>35</v>
      </c>
    </row>
    <row r="208" spans="1:15" x14ac:dyDescent="0.35">
      <c r="A208" t="s">
        <v>258</v>
      </c>
      <c r="B208" s="2">
        <v>46248</v>
      </c>
      <c r="C208" t="s">
        <v>47</v>
      </c>
      <c r="D208" t="s">
        <v>48</v>
      </c>
      <c r="E208" t="s">
        <v>49</v>
      </c>
      <c r="F208" t="s">
        <v>50</v>
      </c>
      <c r="G208">
        <v>1</v>
      </c>
      <c r="H208">
        <v>116152.24</v>
      </c>
      <c r="I208">
        <v>0.15</v>
      </c>
      <c r="J208">
        <v>116152.24</v>
      </c>
      <c r="K208">
        <v>17422.84</v>
      </c>
      <c r="L208">
        <v>7.4999999999999997E-2</v>
      </c>
      <c r="M208">
        <v>7404.7</v>
      </c>
      <c r="N208">
        <v>106134.1</v>
      </c>
      <c r="O208" t="s">
        <v>20</v>
      </c>
    </row>
    <row r="209" spans="1:15" x14ac:dyDescent="0.35">
      <c r="A209" t="s">
        <v>259</v>
      </c>
      <c r="B209" s="2">
        <v>46184</v>
      </c>
      <c r="C209" t="s">
        <v>52</v>
      </c>
      <c r="D209" t="s">
        <v>53</v>
      </c>
      <c r="E209" t="s">
        <v>54</v>
      </c>
      <c r="F209" t="s">
        <v>50</v>
      </c>
      <c r="G209">
        <v>3</v>
      </c>
      <c r="H209">
        <v>104796.51</v>
      </c>
      <c r="I209">
        <v>0.05</v>
      </c>
      <c r="J209">
        <v>314389.53000000003</v>
      </c>
      <c r="K209">
        <v>15719.48</v>
      </c>
      <c r="L209">
        <v>0.1</v>
      </c>
      <c r="M209">
        <v>29867.01</v>
      </c>
      <c r="N209">
        <v>328537.06</v>
      </c>
      <c r="O209" t="s">
        <v>35</v>
      </c>
    </row>
    <row r="210" spans="1:15" x14ac:dyDescent="0.35">
      <c r="A210" t="s">
        <v>260</v>
      </c>
      <c r="B210" s="2">
        <v>46045</v>
      </c>
      <c r="C210" t="s">
        <v>56</v>
      </c>
      <c r="D210" t="s">
        <v>57</v>
      </c>
      <c r="E210" t="s">
        <v>58</v>
      </c>
      <c r="F210" t="s">
        <v>19</v>
      </c>
      <c r="G210">
        <v>5</v>
      </c>
      <c r="H210">
        <v>24510.9</v>
      </c>
      <c r="I210">
        <v>0.15</v>
      </c>
      <c r="J210">
        <v>122554.5</v>
      </c>
      <c r="K210">
        <v>18383.18</v>
      </c>
      <c r="L210">
        <v>0.1</v>
      </c>
      <c r="M210">
        <v>10417.129999999999</v>
      </c>
      <c r="N210">
        <v>114588.45</v>
      </c>
      <c r="O210" t="s">
        <v>35</v>
      </c>
    </row>
    <row r="211" spans="1:15" x14ac:dyDescent="0.35">
      <c r="A211" t="s">
        <v>261</v>
      </c>
      <c r="B211" t="s">
        <v>262</v>
      </c>
      <c r="C211" t="s">
        <v>60</v>
      </c>
      <c r="D211" t="s">
        <v>61</v>
      </c>
      <c r="E211" t="s">
        <v>62</v>
      </c>
      <c r="F211" t="s">
        <v>19</v>
      </c>
      <c r="G211">
        <v>6</v>
      </c>
      <c r="H211">
        <v>227534.88</v>
      </c>
      <c r="I211">
        <v>0.05</v>
      </c>
      <c r="J211">
        <v>1365209.28</v>
      </c>
      <c r="K211">
        <v>68260.460000000006</v>
      </c>
      <c r="L211">
        <v>0.1</v>
      </c>
      <c r="M211">
        <v>129694.88</v>
      </c>
      <c r="N211">
        <v>1426643.7</v>
      </c>
      <c r="O211" t="s">
        <v>35</v>
      </c>
    </row>
    <row r="212" spans="1:15" x14ac:dyDescent="0.35">
      <c r="A212" t="s">
        <v>263</v>
      </c>
      <c r="B212" s="2">
        <v>46155</v>
      </c>
      <c r="C212" t="s">
        <v>16</v>
      </c>
      <c r="D212" t="s">
        <v>17</v>
      </c>
      <c r="E212" t="s">
        <v>18</v>
      </c>
      <c r="F212" t="s">
        <v>19</v>
      </c>
      <c r="G212">
        <v>6</v>
      </c>
      <c r="H212">
        <v>656202.59</v>
      </c>
      <c r="I212">
        <v>0.1</v>
      </c>
      <c r="J212">
        <v>3937215.54</v>
      </c>
      <c r="K212">
        <v>393721.55</v>
      </c>
      <c r="L212">
        <v>0.1</v>
      </c>
      <c r="M212">
        <v>354349.4</v>
      </c>
      <c r="N212">
        <v>3897843.39</v>
      </c>
      <c r="O212" t="s">
        <v>35</v>
      </c>
    </row>
    <row r="213" spans="1:15" x14ac:dyDescent="0.35">
      <c r="A213" t="s">
        <v>264</v>
      </c>
      <c r="B213" s="2">
        <v>46228</v>
      </c>
      <c r="C213" t="s">
        <v>22</v>
      </c>
      <c r="D213" t="s">
        <v>23</v>
      </c>
      <c r="E213" t="s">
        <v>24</v>
      </c>
      <c r="F213" t="s">
        <v>19</v>
      </c>
      <c r="G213">
        <v>7</v>
      </c>
      <c r="H213">
        <v>19284.810000000001</v>
      </c>
      <c r="I213">
        <v>0.15</v>
      </c>
      <c r="J213">
        <v>134993.67000000001</v>
      </c>
      <c r="K213">
        <v>20249.05</v>
      </c>
      <c r="L213">
        <v>0.1</v>
      </c>
      <c r="M213">
        <v>11474.46</v>
      </c>
      <c r="N213">
        <v>126219.08</v>
      </c>
      <c r="O213" t="s">
        <v>25</v>
      </c>
    </row>
    <row r="214" spans="1:15" x14ac:dyDescent="0.35">
      <c r="A214" t="s">
        <v>265</v>
      </c>
      <c r="B214" s="2">
        <v>46246</v>
      </c>
      <c r="C214" t="s">
        <v>27</v>
      </c>
      <c r="D214" t="s">
        <v>28</v>
      </c>
      <c r="E214" t="s">
        <v>29</v>
      </c>
      <c r="F214" t="s">
        <v>30</v>
      </c>
      <c r="G214">
        <v>2</v>
      </c>
      <c r="H214">
        <v>93612.76</v>
      </c>
      <c r="I214">
        <v>0.1</v>
      </c>
      <c r="J214">
        <v>187225.52</v>
      </c>
      <c r="K214">
        <v>18722.55</v>
      </c>
      <c r="L214">
        <v>7.4999999999999997E-2</v>
      </c>
      <c r="M214">
        <v>12637.72</v>
      </c>
      <c r="N214">
        <v>181140.69</v>
      </c>
      <c r="O214" t="s">
        <v>20</v>
      </c>
    </row>
    <row r="215" spans="1:15" x14ac:dyDescent="0.35">
      <c r="A215" t="s">
        <v>266</v>
      </c>
      <c r="B215" s="2">
        <v>46093</v>
      </c>
      <c r="C215" t="s">
        <v>32</v>
      </c>
      <c r="D215" t="s">
        <v>33</v>
      </c>
      <c r="E215" t="s">
        <v>34</v>
      </c>
      <c r="F215" t="s">
        <v>30</v>
      </c>
      <c r="G215">
        <v>7</v>
      </c>
      <c r="H215">
        <v>12305.13</v>
      </c>
      <c r="I215">
        <v>0</v>
      </c>
      <c r="J215">
        <v>86135.91</v>
      </c>
      <c r="K215">
        <v>0</v>
      </c>
      <c r="L215">
        <v>7.4999999999999997E-2</v>
      </c>
      <c r="M215">
        <v>6460.19</v>
      </c>
      <c r="N215">
        <v>92596.1</v>
      </c>
      <c r="O215" t="s">
        <v>35</v>
      </c>
    </row>
    <row r="216" spans="1:15" x14ac:dyDescent="0.35">
      <c r="A216" t="s">
        <v>267</v>
      </c>
      <c r="B216" s="2">
        <v>46265</v>
      </c>
      <c r="C216" t="s">
        <v>37</v>
      </c>
      <c r="D216" t="s">
        <v>38</v>
      </c>
      <c r="E216" t="s">
        <v>39</v>
      </c>
      <c r="F216" t="s">
        <v>40</v>
      </c>
      <c r="G216">
        <v>3</v>
      </c>
      <c r="H216">
        <v>150132.19</v>
      </c>
      <c r="I216">
        <v>0.15</v>
      </c>
      <c r="J216">
        <v>450396.57</v>
      </c>
      <c r="K216">
        <v>67559.490000000005</v>
      </c>
      <c r="L216">
        <v>0.1</v>
      </c>
      <c r="M216">
        <v>38283.71</v>
      </c>
      <c r="N216">
        <v>421120.79</v>
      </c>
      <c r="O216" t="s">
        <v>20</v>
      </c>
    </row>
    <row r="217" spans="1:15" x14ac:dyDescent="0.35">
      <c r="A217" t="s">
        <v>268</v>
      </c>
      <c r="B217" s="2">
        <v>46188</v>
      </c>
      <c r="C217" t="s">
        <v>42</v>
      </c>
      <c r="D217" t="s">
        <v>43</v>
      </c>
      <c r="E217" t="s">
        <v>44</v>
      </c>
      <c r="F217" t="s">
        <v>45</v>
      </c>
      <c r="G217">
        <v>3</v>
      </c>
      <c r="H217">
        <v>87077.35</v>
      </c>
      <c r="I217">
        <v>0.1</v>
      </c>
      <c r="J217">
        <v>261232.05</v>
      </c>
      <c r="K217">
        <v>26123.200000000001</v>
      </c>
      <c r="L217">
        <v>0.1</v>
      </c>
      <c r="M217">
        <v>23510.880000000001</v>
      </c>
      <c r="N217">
        <v>258619.73</v>
      </c>
      <c r="O217" t="s">
        <v>20</v>
      </c>
    </row>
    <row r="218" spans="1:15" x14ac:dyDescent="0.35">
      <c r="A218" t="s">
        <v>269</v>
      </c>
      <c r="B218" s="2">
        <v>46170</v>
      </c>
      <c r="C218" t="s">
        <v>47</v>
      </c>
      <c r="D218" t="s">
        <v>48</v>
      </c>
      <c r="E218" t="s">
        <v>49</v>
      </c>
      <c r="F218" t="s">
        <v>50</v>
      </c>
      <c r="G218">
        <v>6</v>
      </c>
      <c r="H218">
        <v>121981.39</v>
      </c>
      <c r="I218">
        <v>0.05</v>
      </c>
      <c r="J218">
        <v>731888.34</v>
      </c>
      <c r="K218">
        <v>36594.42</v>
      </c>
      <c r="L218">
        <v>7.4999999999999997E-2</v>
      </c>
      <c r="M218">
        <v>52147.040000000001</v>
      </c>
      <c r="N218">
        <v>747440.96</v>
      </c>
      <c r="O218" t="s">
        <v>35</v>
      </c>
    </row>
    <row r="219" spans="1:15" x14ac:dyDescent="0.35">
      <c r="A219" t="s">
        <v>270</v>
      </c>
      <c r="B219" s="2">
        <v>46081</v>
      </c>
      <c r="C219" t="s">
        <v>52</v>
      </c>
      <c r="D219" t="s">
        <v>53</v>
      </c>
      <c r="E219" t="s">
        <v>54</v>
      </c>
      <c r="F219" t="s">
        <v>50</v>
      </c>
      <c r="G219">
        <v>5</v>
      </c>
      <c r="H219">
        <v>94257.31</v>
      </c>
      <c r="I219">
        <v>0.05</v>
      </c>
      <c r="J219">
        <v>471286.55</v>
      </c>
      <c r="K219">
        <v>23564.33</v>
      </c>
      <c r="L219">
        <v>7.4999999999999997E-2</v>
      </c>
      <c r="M219">
        <v>33579.17</v>
      </c>
      <c r="N219">
        <v>481301.39</v>
      </c>
      <c r="O219" t="s">
        <v>25</v>
      </c>
    </row>
    <row r="220" spans="1:15" x14ac:dyDescent="0.35">
      <c r="A220" t="s">
        <v>271</v>
      </c>
      <c r="B220" s="2">
        <v>46111</v>
      </c>
      <c r="C220" t="s">
        <v>56</v>
      </c>
      <c r="D220" t="s">
        <v>57</v>
      </c>
      <c r="E220" t="s">
        <v>58</v>
      </c>
      <c r="F220" t="s">
        <v>19</v>
      </c>
      <c r="G220">
        <v>7</v>
      </c>
      <c r="H220">
        <v>25532.959999999999</v>
      </c>
      <c r="I220">
        <v>0</v>
      </c>
      <c r="J220">
        <v>178730.72</v>
      </c>
      <c r="K220">
        <v>0</v>
      </c>
      <c r="L220">
        <v>7.4999999999999997E-2</v>
      </c>
      <c r="M220">
        <v>13404.8</v>
      </c>
      <c r="N220">
        <v>192135.52</v>
      </c>
      <c r="O220" t="s">
        <v>35</v>
      </c>
    </row>
    <row r="221" spans="1:15" x14ac:dyDescent="0.35">
      <c r="A221" t="s">
        <v>272</v>
      </c>
      <c r="B221" s="2">
        <v>46108</v>
      </c>
      <c r="C221" t="s">
        <v>60</v>
      </c>
      <c r="D221" t="s">
        <v>61</v>
      </c>
      <c r="E221" t="s">
        <v>62</v>
      </c>
      <c r="F221" t="s">
        <v>19</v>
      </c>
      <c r="G221">
        <v>5</v>
      </c>
      <c r="H221">
        <v>233250.83</v>
      </c>
      <c r="I221">
        <v>0</v>
      </c>
      <c r="J221">
        <v>1166254.1499999999</v>
      </c>
      <c r="K221">
        <v>0</v>
      </c>
      <c r="L221">
        <v>0.1</v>
      </c>
      <c r="M221">
        <v>116625.42</v>
      </c>
      <c r="N221">
        <v>1282879.57</v>
      </c>
      <c r="O221" t="s">
        <v>25</v>
      </c>
    </row>
    <row r="222" spans="1:15" x14ac:dyDescent="0.35">
      <c r="A222" t="s">
        <v>273</v>
      </c>
      <c r="B222" s="2">
        <v>46156</v>
      </c>
      <c r="C222" t="s">
        <v>16</v>
      </c>
      <c r="D222" t="s">
        <v>17</v>
      </c>
      <c r="E222" t="s">
        <v>18</v>
      </c>
      <c r="F222" t="s">
        <v>19</v>
      </c>
      <c r="G222">
        <v>7</v>
      </c>
      <c r="H222">
        <v>662975.17000000004</v>
      </c>
      <c r="I222">
        <v>0.1</v>
      </c>
      <c r="J222">
        <v>4640826.1900000004</v>
      </c>
      <c r="K222">
        <v>464082.62</v>
      </c>
      <c r="L222">
        <v>0.1</v>
      </c>
      <c r="M222">
        <v>417674.36</v>
      </c>
      <c r="N222">
        <v>4594417.93</v>
      </c>
      <c r="O222" t="s">
        <v>35</v>
      </c>
    </row>
    <row r="223" spans="1:15" x14ac:dyDescent="0.35">
      <c r="A223" t="s">
        <v>274</v>
      </c>
      <c r="B223" s="2">
        <v>46192</v>
      </c>
      <c r="C223" t="s">
        <v>22</v>
      </c>
      <c r="D223" t="s">
        <v>23</v>
      </c>
      <c r="E223" t="s">
        <v>24</v>
      </c>
      <c r="F223" t="s">
        <v>19</v>
      </c>
      <c r="G223">
        <v>7</v>
      </c>
      <c r="H223">
        <v>17332.02</v>
      </c>
      <c r="I223">
        <v>0</v>
      </c>
      <c r="J223">
        <v>121324.14</v>
      </c>
      <c r="K223">
        <v>0</v>
      </c>
      <c r="L223">
        <v>7.4999999999999997E-2</v>
      </c>
      <c r="M223">
        <v>9099.31</v>
      </c>
      <c r="N223">
        <v>130423.45</v>
      </c>
      <c r="O223" t="s">
        <v>20</v>
      </c>
    </row>
    <row r="224" spans="1:15" x14ac:dyDescent="0.35">
      <c r="A224" t="s">
        <v>275</v>
      </c>
      <c r="B224" s="2">
        <v>46112</v>
      </c>
      <c r="C224" t="s">
        <v>27</v>
      </c>
      <c r="D224" t="s">
        <v>28</v>
      </c>
      <c r="E224" t="s">
        <v>29</v>
      </c>
      <c r="F224" t="s">
        <v>30</v>
      </c>
      <c r="G224">
        <v>1</v>
      </c>
      <c r="H224">
        <v>94029.119999999995</v>
      </c>
      <c r="I224">
        <v>0.15</v>
      </c>
      <c r="J224">
        <v>94029.119999999995</v>
      </c>
      <c r="K224">
        <v>14104.37</v>
      </c>
      <c r="L224">
        <v>7.4999999999999997E-2</v>
      </c>
      <c r="M224">
        <v>5994.36</v>
      </c>
      <c r="N224">
        <v>85919.11</v>
      </c>
      <c r="O224" t="s">
        <v>20</v>
      </c>
    </row>
    <row r="225" spans="1:15" x14ac:dyDescent="0.35">
      <c r="A225" t="s">
        <v>276</v>
      </c>
      <c r="B225" s="2">
        <v>46264</v>
      </c>
      <c r="C225" t="s">
        <v>32</v>
      </c>
      <c r="D225" t="s">
        <v>33</v>
      </c>
      <c r="E225" t="s">
        <v>34</v>
      </c>
      <c r="F225" t="s">
        <v>30</v>
      </c>
      <c r="G225">
        <v>1</v>
      </c>
      <c r="H225">
        <v>12707.46</v>
      </c>
      <c r="I225">
        <v>0.15</v>
      </c>
      <c r="J225">
        <v>12707.46</v>
      </c>
      <c r="K225">
        <v>1906.12</v>
      </c>
      <c r="L225">
        <v>7.4999999999999997E-2</v>
      </c>
      <c r="M225">
        <v>810.1</v>
      </c>
      <c r="N225">
        <v>11611.44</v>
      </c>
      <c r="O225" t="s">
        <v>35</v>
      </c>
    </row>
    <row r="226" spans="1:15" x14ac:dyDescent="0.35">
      <c r="A226" t="s">
        <v>277</v>
      </c>
      <c r="B226" s="2">
        <v>46035</v>
      </c>
      <c r="C226" t="s">
        <v>37</v>
      </c>
      <c r="D226" t="s">
        <v>38</v>
      </c>
      <c r="E226" t="s">
        <v>39</v>
      </c>
      <c r="F226" t="s">
        <v>40</v>
      </c>
      <c r="G226">
        <v>1</v>
      </c>
      <c r="H226">
        <v>149634.68</v>
      </c>
      <c r="I226">
        <v>0</v>
      </c>
      <c r="J226">
        <v>149634.68</v>
      </c>
      <c r="K226">
        <v>0</v>
      </c>
      <c r="L226">
        <v>0.1</v>
      </c>
      <c r="M226">
        <v>14963.47</v>
      </c>
      <c r="N226">
        <v>164598.15</v>
      </c>
      <c r="O226" t="s">
        <v>35</v>
      </c>
    </row>
    <row r="227" spans="1:15" x14ac:dyDescent="0.35">
      <c r="A227" t="s">
        <v>278</v>
      </c>
      <c r="B227" s="2">
        <v>46048</v>
      </c>
      <c r="C227" t="s">
        <v>42</v>
      </c>
      <c r="D227" t="s">
        <v>43</v>
      </c>
      <c r="E227" t="s">
        <v>44</v>
      </c>
      <c r="F227" t="s">
        <v>45</v>
      </c>
      <c r="G227">
        <v>5</v>
      </c>
      <c r="H227">
        <v>83674.679999999993</v>
      </c>
      <c r="I227">
        <v>0</v>
      </c>
      <c r="J227">
        <v>418373.4</v>
      </c>
      <c r="K227">
        <v>0</v>
      </c>
      <c r="L227">
        <v>0.1</v>
      </c>
      <c r="M227">
        <v>41837.339999999997</v>
      </c>
      <c r="N227">
        <v>460210.74</v>
      </c>
      <c r="O227" t="s">
        <v>20</v>
      </c>
    </row>
    <row r="228" spans="1:15" x14ac:dyDescent="0.35">
      <c r="A228" t="s">
        <v>279</v>
      </c>
      <c r="B228" s="2">
        <v>46124</v>
      </c>
      <c r="C228" t="s">
        <v>47</v>
      </c>
      <c r="D228" t="s">
        <v>48</v>
      </c>
      <c r="E228" t="s">
        <v>49</v>
      </c>
      <c r="F228" t="s">
        <v>50</v>
      </c>
      <c r="G228">
        <v>4</v>
      </c>
      <c r="H228">
        <v>112939.7</v>
      </c>
      <c r="I228">
        <v>0</v>
      </c>
      <c r="J228">
        <v>451758.8</v>
      </c>
      <c r="K228">
        <v>0</v>
      </c>
      <c r="L228">
        <v>7.4999999999999997E-2</v>
      </c>
      <c r="M228">
        <v>33881.910000000003</v>
      </c>
      <c r="N228">
        <v>485640.71</v>
      </c>
      <c r="O228" t="s">
        <v>35</v>
      </c>
    </row>
    <row r="229" spans="1:15" x14ac:dyDescent="0.35">
      <c r="A229" t="s">
        <v>280</v>
      </c>
      <c r="B229" s="2">
        <v>46068</v>
      </c>
      <c r="C229" t="s">
        <v>52</v>
      </c>
      <c r="D229" t="s">
        <v>53</v>
      </c>
      <c r="E229" t="s">
        <v>54</v>
      </c>
      <c r="F229" t="s">
        <v>50</v>
      </c>
      <c r="G229">
        <v>3</v>
      </c>
      <c r="H229">
        <v>105161.34</v>
      </c>
      <c r="I229">
        <v>0.15</v>
      </c>
      <c r="J229">
        <v>315484.02</v>
      </c>
      <c r="K229">
        <v>47322.6</v>
      </c>
      <c r="L229">
        <v>7.4999999999999997E-2</v>
      </c>
      <c r="M229">
        <v>20112.11</v>
      </c>
      <c r="N229">
        <v>288273.53000000003</v>
      </c>
      <c r="O229" t="s">
        <v>20</v>
      </c>
    </row>
    <row r="230" spans="1:15" x14ac:dyDescent="0.35">
      <c r="A230" t="s">
        <v>281</v>
      </c>
      <c r="B230" s="2">
        <v>46256</v>
      </c>
      <c r="C230" t="s">
        <v>56</v>
      </c>
      <c r="D230" t="s">
        <v>57</v>
      </c>
      <c r="E230" t="s">
        <v>58</v>
      </c>
      <c r="F230" t="s">
        <v>19</v>
      </c>
      <c r="G230">
        <v>6</v>
      </c>
      <c r="H230">
        <v>23268.7</v>
      </c>
      <c r="I230">
        <v>0</v>
      </c>
      <c r="J230">
        <v>139612.20000000001</v>
      </c>
      <c r="K230">
        <v>0</v>
      </c>
      <c r="L230">
        <v>7.4999999999999997E-2</v>
      </c>
      <c r="M230">
        <v>10470.92</v>
      </c>
      <c r="N230">
        <v>150083.12</v>
      </c>
      <c r="O230" t="s">
        <v>20</v>
      </c>
    </row>
    <row r="231" spans="1:15" x14ac:dyDescent="0.35">
      <c r="A231" t="s">
        <v>282</v>
      </c>
      <c r="B231" s="2">
        <v>46053</v>
      </c>
      <c r="C231" t="s">
        <v>60</v>
      </c>
      <c r="D231" t="s">
        <v>61</v>
      </c>
      <c r="E231" t="s">
        <v>62</v>
      </c>
      <c r="F231" t="s">
        <v>19</v>
      </c>
      <c r="G231">
        <v>7</v>
      </c>
      <c r="H231">
        <v>206151.57</v>
      </c>
      <c r="I231">
        <v>0.05</v>
      </c>
      <c r="J231">
        <v>1443060.99</v>
      </c>
      <c r="K231">
        <v>72153.05</v>
      </c>
      <c r="L231">
        <v>7.4999999999999997E-2</v>
      </c>
      <c r="M231">
        <v>102818.1</v>
      </c>
      <c r="N231">
        <v>1473726.04</v>
      </c>
      <c r="O231" t="s">
        <v>25</v>
      </c>
    </row>
    <row r="232" spans="1:15" x14ac:dyDescent="0.35">
      <c r="A232" t="s">
        <v>283</v>
      </c>
      <c r="B232" s="2">
        <v>46263</v>
      </c>
      <c r="C232" t="s">
        <v>16</v>
      </c>
      <c r="D232" t="s">
        <v>17</v>
      </c>
      <c r="E232" t="s">
        <v>18</v>
      </c>
      <c r="F232" t="s">
        <v>19</v>
      </c>
      <c r="G232">
        <v>6</v>
      </c>
      <c r="H232">
        <v>674147.2</v>
      </c>
      <c r="I232">
        <v>0.05</v>
      </c>
      <c r="J232">
        <v>4044883.2</v>
      </c>
      <c r="K232">
        <v>202244.16</v>
      </c>
      <c r="L232">
        <v>0.1</v>
      </c>
      <c r="M232">
        <v>384263.9</v>
      </c>
      <c r="N232">
        <v>4226902.9400000004</v>
      </c>
      <c r="O232" t="s">
        <v>20</v>
      </c>
    </row>
    <row r="233" spans="1:15" x14ac:dyDescent="0.35">
      <c r="A233" t="s">
        <v>284</v>
      </c>
      <c r="B233" s="2">
        <v>46239</v>
      </c>
      <c r="C233" t="s">
        <v>22</v>
      </c>
      <c r="D233" t="s">
        <v>23</v>
      </c>
      <c r="E233" t="s">
        <v>24</v>
      </c>
      <c r="F233" t="s">
        <v>19</v>
      </c>
      <c r="G233">
        <v>7</v>
      </c>
      <c r="H233">
        <v>18211.09</v>
      </c>
      <c r="I233">
        <v>0</v>
      </c>
      <c r="J233">
        <v>127477.63</v>
      </c>
      <c r="K233">
        <v>0</v>
      </c>
      <c r="L233">
        <v>0.1</v>
      </c>
      <c r="M233">
        <v>12747.76</v>
      </c>
      <c r="N233">
        <v>140225.39000000001</v>
      </c>
      <c r="O233" t="s">
        <v>35</v>
      </c>
    </row>
    <row r="234" spans="1:15" x14ac:dyDescent="0.35">
      <c r="A234" t="s">
        <v>285</v>
      </c>
      <c r="B234" s="2">
        <v>46080</v>
      </c>
      <c r="C234" t="s">
        <v>27</v>
      </c>
      <c r="D234" t="s">
        <v>28</v>
      </c>
      <c r="E234" t="s">
        <v>29</v>
      </c>
      <c r="F234" t="s">
        <v>30</v>
      </c>
      <c r="G234">
        <v>2</v>
      </c>
      <c r="H234">
        <v>93814.95</v>
      </c>
      <c r="I234">
        <v>0.05</v>
      </c>
      <c r="J234">
        <v>187629.9</v>
      </c>
      <c r="K234">
        <v>9381.5</v>
      </c>
      <c r="L234">
        <v>0.1</v>
      </c>
      <c r="M234">
        <v>17824.84</v>
      </c>
      <c r="N234">
        <v>196073.24</v>
      </c>
      <c r="O234" t="s">
        <v>20</v>
      </c>
    </row>
    <row r="235" spans="1:15" x14ac:dyDescent="0.35">
      <c r="A235" t="s">
        <v>286</v>
      </c>
      <c r="B235" s="2">
        <v>46055</v>
      </c>
      <c r="C235" t="s">
        <v>32</v>
      </c>
      <c r="D235" t="s">
        <v>33</v>
      </c>
      <c r="E235" t="s">
        <v>34</v>
      </c>
      <c r="F235" t="s">
        <v>30</v>
      </c>
      <c r="G235">
        <v>3</v>
      </c>
      <c r="H235">
        <v>11213.45</v>
      </c>
      <c r="I235">
        <v>0.1</v>
      </c>
      <c r="J235">
        <v>33640.35</v>
      </c>
      <c r="K235">
        <v>3364.04</v>
      </c>
      <c r="L235">
        <v>0.1</v>
      </c>
      <c r="M235">
        <v>3027.63</v>
      </c>
      <c r="N235">
        <v>33303.94</v>
      </c>
      <c r="O235" t="s">
        <v>35</v>
      </c>
    </row>
    <row r="236" spans="1:15" x14ac:dyDescent="0.35">
      <c r="A236" t="s">
        <v>287</v>
      </c>
      <c r="B236" s="2">
        <v>46065</v>
      </c>
      <c r="C236" t="s">
        <v>37</v>
      </c>
      <c r="D236" t="s">
        <v>38</v>
      </c>
      <c r="E236" t="s">
        <v>39</v>
      </c>
      <c r="F236" t="s">
        <v>40</v>
      </c>
      <c r="G236">
        <v>3</v>
      </c>
      <c r="H236">
        <v>146536.15</v>
      </c>
      <c r="I236">
        <v>0</v>
      </c>
      <c r="J236">
        <v>439608.45</v>
      </c>
      <c r="K236">
        <v>0</v>
      </c>
      <c r="L236">
        <v>7.4999999999999997E-2</v>
      </c>
      <c r="M236">
        <v>32970.629999999997</v>
      </c>
      <c r="N236">
        <v>472579.08</v>
      </c>
      <c r="O236" t="s">
        <v>20</v>
      </c>
    </row>
    <row r="237" spans="1:15" x14ac:dyDescent="0.35">
      <c r="A237" t="s">
        <v>288</v>
      </c>
      <c r="B237" s="2">
        <v>46176</v>
      </c>
      <c r="C237" t="s">
        <v>42</v>
      </c>
      <c r="D237" t="s">
        <v>43</v>
      </c>
      <c r="E237" t="s">
        <v>44</v>
      </c>
      <c r="F237" t="s">
        <v>45</v>
      </c>
      <c r="G237">
        <v>6</v>
      </c>
      <c r="H237">
        <v>84674.29</v>
      </c>
      <c r="I237">
        <v>0.1</v>
      </c>
      <c r="J237">
        <v>508045.74</v>
      </c>
      <c r="K237">
        <v>50804.57</v>
      </c>
      <c r="L237">
        <v>0.1</v>
      </c>
      <c r="M237">
        <v>45724.12</v>
      </c>
      <c r="N237">
        <v>502965.29</v>
      </c>
      <c r="O237" t="s">
        <v>20</v>
      </c>
    </row>
    <row r="238" spans="1:15" x14ac:dyDescent="0.35">
      <c r="A238" t="s">
        <v>289</v>
      </c>
      <c r="B238" s="2">
        <v>46237</v>
      </c>
      <c r="C238" t="s">
        <v>47</v>
      </c>
      <c r="D238" t="s">
        <v>48</v>
      </c>
      <c r="E238" t="s">
        <v>49</v>
      </c>
      <c r="F238" t="s">
        <v>50</v>
      </c>
      <c r="G238">
        <v>1</v>
      </c>
      <c r="H238">
        <v>115582.3</v>
      </c>
      <c r="I238">
        <v>0.1</v>
      </c>
      <c r="J238">
        <v>115582.3</v>
      </c>
      <c r="K238">
        <v>11558.23</v>
      </c>
      <c r="L238">
        <v>0.1</v>
      </c>
      <c r="M238">
        <v>10402.41</v>
      </c>
      <c r="N238">
        <v>114426.48</v>
      </c>
      <c r="O238" t="s">
        <v>20</v>
      </c>
    </row>
    <row r="239" spans="1:15" x14ac:dyDescent="0.35">
      <c r="A239" t="s">
        <v>290</v>
      </c>
      <c r="B239" s="2">
        <v>46261</v>
      </c>
      <c r="C239" t="s">
        <v>52</v>
      </c>
      <c r="D239" t="s">
        <v>53</v>
      </c>
      <c r="E239" t="s">
        <v>54</v>
      </c>
      <c r="F239" t="s">
        <v>50</v>
      </c>
      <c r="G239">
        <v>3</v>
      </c>
      <c r="H239">
        <v>105542.53</v>
      </c>
      <c r="I239">
        <v>0.1</v>
      </c>
      <c r="J239">
        <v>316627.59000000003</v>
      </c>
      <c r="K239">
        <v>31662.76</v>
      </c>
      <c r="L239">
        <v>7.4999999999999997E-2</v>
      </c>
      <c r="M239">
        <v>21372.36</v>
      </c>
      <c r="N239">
        <v>306337.19</v>
      </c>
      <c r="O239" t="s">
        <v>35</v>
      </c>
    </row>
    <row r="240" spans="1:15" x14ac:dyDescent="0.35">
      <c r="A240" t="s">
        <v>291</v>
      </c>
      <c r="B240" s="2">
        <v>46066</v>
      </c>
      <c r="C240" t="s">
        <v>56</v>
      </c>
      <c r="D240" t="s">
        <v>57</v>
      </c>
      <c r="E240" t="s">
        <v>58</v>
      </c>
      <c r="F240" t="s">
        <v>19</v>
      </c>
      <c r="G240">
        <v>2</v>
      </c>
      <c r="H240">
        <v>24896.95</v>
      </c>
      <c r="I240">
        <v>0</v>
      </c>
      <c r="J240">
        <v>49793.9</v>
      </c>
      <c r="K240">
        <v>0</v>
      </c>
      <c r="L240">
        <v>7.4999999999999997E-2</v>
      </c>
      <c r="M240">
        <v>3734.54</v>
      </c>
      <c r="N240">
        <v>53528.44</v>
      </c>
      <c r="O240" t="s">
        <v>20</v>
      </c>
    </row>
    <row r="241" spans="1:15" x14ac:dyDescent="0.35">
      <c r="A241" t="s">
        <v>292</v>
      </c>
      <c r="B241" s="2">
        <v>46051</v>
      </c>
      <c r="C241" t="s">
        <v>60</v>
      </c>
      <c r="D241" t="s">
        <v>61</v>
      </c>
      <c r="E241" t="s">
        <v>62</v>
      </c>
      <c r="F241" t="s">
        <v>19</v>
      </c>
      <c r="G241">
        <v>1</v>
      </c>
      <c r="H241">
        <v>227213.38</v>
      </c>
      <c r="I241">
        <v>0.15</v>
      </c>
      <c r="J241">
        <v>227213.38</v>
      </c>
      <c r="K241">
        <v>34082.01</v>
      </c>
      <c r="L241">
        <v>0.1</v>
      </c>
      <c r="M241">
        <v>19313.14</v>
      </c>
      <c r="N241">
        <v>212444.51</v>
      </c>
      <c r="O241" t="s">
        <v>35</v>
      </c>
    </row>
    <row r="242" spans="1:15" x14ac:dyDescent="0.35">
      <c r="A242" t="s">
        <v>293</v>
      </c>
      <c r="B242" s="2">
        <v>46205</v>
      </c>
      <c r="C242" t="s">
        <v>16</v>
      </c>
      <c r="D242" t="s">
        <v>17</v>
      </c>
      <c r="E242" t="s">
        <v>18</v>
      </c>
      <c r="F242" t="s">
        <v>19</v>
      </c>
      <c r="G242">
        <v>3</v>
      </c>
      <c r="H242">
        <v>606087.6</v>
      </c>
      <c r="I242">
        <v>0.15</v>
      </c>
      <c r="J242">
        <v>1818262.8</v>
      </c>
      <c r="K242">
        <v>272739.42</v>
      </c>
      <c r="L242">
        <v>0.1</v>
      </c>
      <c r="M242">
        <v>154552.34</v>
      </c>
      <c r="N242">
        <v>1700075.72</v>
      </c>
      <c r="O242" t="s">
        <v>35</v>
      </c>
    </row>
    <row r="243" spans="1:15" x14ac:dyDescent="0.35">
      <c r="A243" t="s">
        <v>294</v>
      </c>
      <c r="B243" s="2">
        <v>46213</v>
      </c>
      <c r="C243" t="s">
        <v>22</v>
      </c>
      <c r="D243" t="s">
        <v>23</v>
      </c>
      <c r="E243" t="s">
        <v>24</v>
      </c>
      <c r="F243" t="s">
        <v>19</v>
      </c>
      <c r="G243">
        <v>2</v>
      </c>
      <c r="H243">
        <v>16856.91</v>
      </c>
      <c r="I243">
        <v>0</v>
      </c>
      <c r="J243">
        <v>33713.82</v>
      </c>
      <c r="K243">
        <v>0</v>
      </c>
      <c r="L243">
        <v>0.1</v>
      </c>
      <c r="M243">
        <v>3371.38</v>
      </c>
      <c r="N243">
        <v>37085.199999999997</v>
      </c>
      <c r="O243" t="s">
        <v>25</v>
      </c>
    </row>
    <row r="244" spans="1:15" x14ac:dyDescent="0.35">
      <c r="A244" t="s">
        <v>295</v>
      </c>
      <c r="B244" s="2">
        <v>46073</v>
      </c>
      <c r="C244" t="s">
        <v>27</v>
      </c>
      <c r="D244" t="s">
        <v>28</v>
      </c>
      <c r="E244" t="s">
        <v>29</v>
      </c>
      <c r="F244" t="s">
        <v>30</v>
      </c>
      <c r="G244">
        <v>5</v>
      </c>
      <c r="H244">
        <v>99408.21</v>
      </c>
      <c r="I244">
        <v>0</v>
      </c>
      <c r="J244">
        <v>497041.05</v>
      </c>
      <c r="K244">
        <v>0</v>
      </c>
      <c r="L244">
        <v>7.4999999999999997E-2</v>
      </c>
      <c r="M244">
        <v>37278.080000000002</v>
      </c>
      <c r="N244">
        <v>534319.13</v>
      </c>
      <c r="O244" t="s">
        <v>35</v>
      </c>
    </row>
    <row r="245" spans="1:15" x14ac:dyDescent="0.35">
      <c r="A245" t="s">
        <v>296</v>
      </c>
      <c r="B245" s="2">
        <v>46241</v>
      </c>
      <c r="C245" t="s">
        <v>32</v>
      </c>
      <c r="D245" t="s">
        <v>33</v>
      </c>
      <c r="E245" t="s">
        <v>34</v>
      </c>
      <c r="F245" t="s">
        <v>30</v>
      </c>
      <c r="G245">
        <v>3</v>
      </c>
      <c r="H245">
        <v>12445.87</v>
      </c>
      <c r="I245">
        <v>0</v>
      </c>
      <c r="J245">
        <v>37337.61</v>
      </c>
      <c r="K245">
        <v>0</v>
      </c>
      <c r="L245">
        <v>7.4999999999999997E-2</v>
      </c>
      <c r="M245">
        <v>2800.32</v>
      </c>
      <c r="N245">
        <v>40137.93</v>
      </c>
      <c r="O245" t="s">
        <v>20</v>
      </c>
    </row>
    <row r="246" spans="1:15" x14ac:dyDescent="0.35">
      <c r="A246" t="s">
        <v>297</v>
      </c>
      <c r="B246" s="2">
        <v>46038</v>
      </c>
      <c r="C246" t="s">
        <v>37</v>
      </c>
      <c r="D246" t="s">
        <v>38</v>
      </c>
      <c r="E246" t="s">
        <v>39</v>
      </c>
      <c r="F246" t="s">
        <v>40</v>
      </c>
      <c r="G246">
        <v>6</v>
      </c>
      <c r="H246">
        <v>161533.84</v>
      </c>
      <c r="I246">
        <v>0.05</v>
      </c>
      <c r="J246">
        <v>969203.04</v>
      </c>
      <c r="K246">
        <v>48460.15</v>
      </c>
      <c r="L246">
        <v>7.4999999999999997E-2</v>
      </c>
      <c r="M246">
        <v>69055.72</v>
      </c>
      <c r="N246">
        <v>989798.61</v>
      </c>
      <c r="O246" t="s">
        <v>35</v>
      </c>
    </row>
    <row r="247" spans="1:15" x14ac:dyDescent="0.35">
      <c r="A247" t="s">
        <v>298</v>
      </c>
      <c r="B247" s="2">
        <v>46058</v>
      </c>
      <c r="C247" t="s">
        <v>42</v>
      </c>
      <c r="D247" t="s">
        <v>43</v>
      </c>
      <c r="E247" t="s">
        <v>44</v>
      </c>
      <c r="F247" t="s">
        <v>45</v>
      </c>
      <c r="G247">
        <v>2</v>
      </c>
      <c r="H247">
        <v>78901.7</v>
      </c>
      <c r="I247">
        <v>0.05</v>
      </c>
      <c r="J247">
        <v>157803.4</v>
      </c>
      <c r="K247">
        <v>7890.17</v>
      </c>
      <c r="L247">
        <v>7.4999999999999997E-2</v>
      </c>
      <c r="M247">
        <v>11243.49</v>
      </c>
      <c r="N247">
        <v>161156.72</v>
      </c>
      <c r="O247" t="s">
        <v>20</v>
      </c>
    </row>
    <row r="248" spans="1:15" x14ac:dyDescent="0.35">
      <c r="A248" t="s">
        <v>299</v>
      </c>
      <c r="B248" s="2">
        <v>46112</v>
      </c>
      <c r="C248" t="s">
        <v>47</v>
      </c>
      <c r="D248" t="s">
        <v>48</v>
      </c>
      <c r="E248" t="s">
        <v>49</v>
      </c>
      <c r="F248" t="s">
        <v>50</v>
      </c>
      <c r="G248">
        <v>7</v>
      </c>
      <c r="H248">
        <v>129587.59</v>
      </c>
      <c r="I248">
        <v>0.05</v>
      </c>
      <c r="J248">
        <v>907113.13</v>
      </c>
      <c r="K248">
        <v>45355.66</v>
      </c>
      <c r="L248">
        <v>7.4999999999999997E-2</v>
      </c>
      <c r="M248">
        <v>64631.81</v>
      </c>
      <c r="N248">
        <v>926389.28</v>
      </c>
      <c r="O248" t="s">
        <v>25</v>
      </c>
    </row>
    <row r="249" spans="1:15" x14ac:dyDescent="0.35">
      <c r="A249" t="s">
        <v>300</v>
      </c>
      <c r="B249" s="2">
        <v>46141</v>
      </c>
      <c r="C249" t="s">
        <v>52</v>
      </c>
      <c r="D249" t="s">
        <v>53</v>
      </c>
      <c r="E249" t="s">
        <v>54</v>
      </c>
      <c r="F249" t="s">
        <v>50</v>
      </c>
      <c r="G249">
        <v>6</v>
      </c>
      <c r="H249">
        <v>93928.36</v>
      </c>
      <c r="I249">
        <v>0.1</v>
      </c>
      <c r="J249">
        <v>563570.16</v>
      </c>
      <c r="K249">
        <v>56357.02</v>
      </c>
      <c r="L249">
        <v>7.4999999999999997E-2</v>
      </c>
      <c r="M249">
        <v>38040.99</v>
      </c>
      <c r="N249">
        <v>545254.13</v>
      </c>
      <c r="O249" t="s">
        <v>25</v>
      </c>
    </row>
    <row r="250" spans="1:15" x14ac:dyDescent="0.35">
      <c r="A250" t="s">
        <v>301</v>
      </c>
      <c r="B250" s="2">
        <v>46249</v>
      </c>
      <c r="C250" t="s">
        <v>56</v>
      </c>
      <c r="D250" t="s">
        <v>57</v>
      </c>
      <c r="E250" t="s">
        <v>58</v>
      </c>
      <c r="F250" t="s">
        <v>19</v>
      </c>
      <c r="G250">
        <v>2</v>
      </c>
      <c r="H250">
        <v>24687.05</v>
      </c>
      <c r="I250">
        <v>0</v>
      </c>
      <c r="J250">
        <v>49374.1</v>
      </c>
      <c r="K250">
        <v>0</v>
      </c>
      <c r="L250">
        <v>0.1</v>
      </c>
      <c r="M250">
        <v>4937.41</v>
      </c>
      <c r="N250">
        <v>54311.51</v>
      </c>
      <c r="O250" t="s">
        <v>25</v>
      </c>
    </row>
    <row r="251" spans="1:15" x14ac:dyDescent="0.35">
      <c r="A251" t="s">
        <v>302</v>
      </c>
      <c r="B251" s="2">
        <v>46129</v>
      </c>
      <c r="C251" t="s">
        <v>60</v>
      </c>
      <c r="D251" t="s">
        <v>61</v>
      </c>
      <c r="E251" t="s">
        <v>62</v>
      </c>
      <c r="F251" t="s">
        <v>19</v>
      </c>
      <c r="G251">
        <v>7</v>
      </c>
      <c r="H251">
        <v>218421.06</v>
      </c>
      <c r="I251">
        <v>0.1</v>
      </c>
      <c r="J251">
        <v>1528947.42</v>
      </c>
      <c r="K251">
        <v>152894.74</v>
      </c>
      <c r="L251">
        <v>0.1</v>
      </c>
      <c r="M251">
        <v>137605.26999999999</v>
      </c>
      <c r="N251">
        <v>1513657.95</v>
      </c>
      <c r="O251" t="s">
        <v>35</v>
      </c>
    </row>
    <row r="252" spans="1:15" x14ac:dyDescent="0.35">
      <c r="A252" t="s">
        <v>303</v>
      </c>
      <c r="B252" s="2">
        <v>46071</v>
      </c>
      <c r="C252" t="s">
        <v>16</v>
      </c>
      <c r="D252" t="s">
        <v>17</v>
      </c>
      <c r="E252" t="s">
        <v>18</v>
      </c>
      <c r="F252" t="s">
        <v>19</v>
      </c>
      <c r="G252">
        <v>7</v>
      </c>
      <c r="H252">
        <v>635928.51</v>
      </c>
      <c r="I252">
        <v>0.15</v>
      </c>
      <c r="J252">
        <v>4451499.57</v>
      </c>
      <c r="K252">
        <v>667724.93999999994</v>
      </c>
      <c r="L252">
        <v>0.1</v>
      </c>
      <c r="M252">
        <v>378377.46</v>
      </c>
      <c r="N252">
        <v>4162152.09</v>
      </c>
      <c r="O252" t="s">
        <v>35</v>
      </c>
    </row>
    <row r="253" spans="1:15" x14ac:dyDescent="0.35">
      <c r="A253" t="s">
        <v>304</v>
      </c>
      <c r="B253" s="2">
        <v>46241</v>
      </c>
      <c r="C253" t="s">
        <v>22</v>
      </c>
      <c r="D253" t="s">
        <v>23</v>
      </c>
      <c r="E253" t="s">
        <v>24</v>
      </c>
      <c r="F253" t="s">
        <v>19</v>
      </c>
      <c r="G253">
        <v>5</v>
      </c>
      <c r="H253">
        <v>18087.16</v>
      </c>
      <c r="I253">
        <v>0.05</v>
      </c>
      <c r="J253">
        <v>90435.8</v>
      </c>
      <c r="K253">
        <v>4521.79</v>
      </c>
      <c r="L253">
        <v>7.4999999999999997E-2</v>
      </c>
      <c r="M253">
        <v>6443.55</v>
      </c>
      <c r="N253">
        <v>92357.56</v>
      </c>
      <c r="O253" t="s">
        <v>35</v>
      </c>
    </row>
    <row r="254" spans="1:15" x14ac:dyDescent="0.35">
      <c r="A254" t="s">
        <v>305</v>
      </c>
      <c r="B254" s="2">
        <v>46240</v>
      </c>
      <c r="C254" t="s">
        <v>27</v>
      </c>
      <c r="D254" t="s">
        <v>28</v>
      </c>
      <c r="E254" t="s">
        <v>29</v>
      </c>
      <c r="F254" t="s">
        <v>30</v>
      </c>
      <c r="G254">
        <v>7</v>
      </c>
      <c r="H254">
        <v>99620.45</v>
      </c>
      <c r="I254">
        <v>0.15</v>
      </c>
      <c r="J254">
        <v>697343.15</v>
      </c>
      <c r="K254">
        <v>104601.47</v>
      </c>
      <c r="L254">
        <v>7.4999999999999997E-2</v>
      </c>
      <c r="M254">
        <v>44455.63</v>
      </c>
      <c r="N254">
        <v>637197.31000000006</v>
      </c>
      <c r="O254" t="s">
        <v>35</v>
      </c>
    </row>
    <row r="255" spans="1:15" x14ac:dyDescent="0.35">
      <c r="A255" t="s">
        <v>306</v>
      </c>
      <c r="B255" s="2">
        <v>46134</v>
      </c>
      <c r="C255" t="s">
        <v>32</v>
      </c>
      <c r="D255" t="s">
        <v>33</v>
      </c>
      <c r="E255" t="s">
        <v>34</v>
      </c>
      <c r="F255" t="s">
        <v>30</v>
      </c>
      <c r="G255">
        <v>2</v>
      </c>
      <c r="H255">
        <v>12038.72</v>
      </c>
      <c r="I255">
        <v>0</v>
      </c>
      <c r="J255">
        <v>24077.439999999999</v>
      </c>
      <c r="K255">
        <v>0</v>
      </c>
      <c r="L255">
        <v>0.1</v>
      </c>
      <c r="M255">
        <v>2407.7399999999998</v>
      </c>
      <c r="N255">
        <v>26485.18</v>
      </c>
      <c r="O255" t="s">
        <v>35</v>
      </c>
    </row>
    <row r="256" spans="1:15" x14ac:dyDescent="0.35">
      <c r="A256" t="s">
        <v>307</v>
      </c>
      <c r="B256" s="2">
        <v>46039</v>
      </c>
      <c r="C256" t="s">
        <v>37</v>
      </c>
      <c r="D256" t="s">
        <v>38</v>
      </c>
      <c r="E256" t="s">
        <v>39</v>
      </c>
      <c r="F256" t="s">
        <v>40</v>
      </c>
      <c r="G256">
        <v>7</v>
      </c>
      <c r="H256">
        <v>149086.63</v>
      </c>
      <c r="I256">
        <v>0.05</v>
      </c>
      <c r="J256">
        <v>1043606.41</v>
      </c>
      <c r="K256">
        <v>52180.32</v>
      </c>
      <c r="L256">
        <v>0.1</v>
      </c>
      <c r="M256">
        <v>99142.61</v>
      </c>
      <c r="N256">
        <v>1090568.7</v>
      </c>
      <c r="O256" t="s">
        <v>308</v>
      </c>
    </row>
    <row r="257" spans="1:15" x14ac:dyDescent="0.35">
      <c r="A257" t="s">
        <v>309</v>
      </c>
      <c r="B257" s="2">
        <v>46055</v>
      </c>
      <c r="C257" t="s">
        <v>42</v>
      </c>
      <c r="D257" t="s">
        <v>43</v>
      </c>
      <c r="E257" t="s">
        <v>44</v>
      </c>
      <c r="F257" t="s">
        <v>45</v>
      </c>
      <c r="G257">
        <v>3</v>
      </c>
      <c r="H257">
        <v>79152.399999999994</v>
      </c>
      <c r="I257">
        <v>0.05</v>
      </c>
      <c r="J257">
        <v>237457.2</v>
      </c>
      <c r="K257">
        <v>11872.86</v>
      </c>
      <c r="L257">
        <v>0.1</v>
      </c>
      <c r="M257">
        <v>22558.43</v>
      </c>
      <c r="N257">
        <v>248142.77</v>
      </c>
      <c r="O257" t="s">
        <v>20</v>
      </c>
    </row>
    <row r="258" spans="1:15" x14ac:dyDescent="0.35">
      <c r="A258" t="s">
        <v>310</v>
      </c>
      <c r="B258" s="2">
        <v>46042</v>
      </c>
      <c r="C258" t="s">
        <v>47</v>
      </c>
      <c r="D258" t="s">
        <v>48</v>
      </c>
      <c r="E258" t="s">
        <v>49</v>
      </c>
      <c r="F258" t="s">
        <v>50</v>
      </c>
      <c r="G258">
        <v>5</v>
      </c>
      <c r="H258">
        <v>111121.86</v>
      </c>
      <c r="I258">
        <v>0.15</v>
      </c>
      <c r="J258">
        <v>555609.30000000005</v>
      </c>
      <c r="K258">
        <v>83341.399999999994</v>
      </c>
      <c r="L258">
        <v>7.4999999999999997E-2</v>
      </c>
      <c r="M258">
        <v>35420.089999999997</v>
      </c>
      <c r="N258">
        <v>507687.99</v>
      </c>
      <c r="O258" t="s">
        <v>25</v>
      </c>
    </row>
    <row r="259" spans="1:15" x14ac:dyDescent="0.35">
      <c r="A259" t="s">
        <v>311</v>
      </c>
      <c r="B259" s="2">
        <v>46129</v>
      </c>
      <c r="C259" t="s">
        <v>52</v>
      </c>
      <c r="D259" t="s">
        <v>53</v>
      </c>
      <c r="E259" t="s">
        <v>54</v>
      </c>
      <c r="F259" t="s">
        <v>50</v>
      </c>
      <c r="G259">
        <v>7</v>
      </c>
      <c r="H259">
        <v>98372.6</v>
      </c>
      <c r="I259">
        <v>0.05</v>
      </c>
      <c r="J259">
        <v>688608.2</v>
      </c>
      <c r="K259">
        <v>34430.410000000003</v>
      </c>
      <c r="L259">
        <v>7.4999999999999997E-2</v>
      </c>
      <c r="M259">
        <v>49063.33</v>
      </c>
      <c r="N259">
        <v>703241.12</v>
      </c>
      <c r="O259" t="s">
        <v>35</v>
      </c>
    </row>
    <row r="260" spans="1:15" x14ac:dyDescent="0.35">
      <c r="A260" t="s">
        <v>312</v>
      </c>
      <c r="B260" s="2">
        <v>46168</v>
      </c>
      <c r="C260" t="s">
        <v>56</v>
      </c>
      <c r="D260" t="s">
        <v>57</v>
      </c>
      <c r="E260" t="s">
        <v>58</v>
      </c>
      <c r="F260" t="s">
        <v>19</v>
      </c>
      <c r="G260">
        <v>1</v>
      </c>
      <c r="H260">
        <v>23955.11</v>
      </c>
      <c r="I260">
        <v>0.1</v>
      </c>
      <c r="J260">
        <v>23955.11</v>
      </c>
      <c r="K260">
        <v>2395.5100000000002</v>
      </c>
      <c r="L260">
        <v>7.4999999999999997E-2</v>
      </c>
      <c r="M260">
        <v>1616.97</v>
      </c>
      <c r="N260">
        <v>23176.57</v>
      </c>
      <c r="O260" t="s">
        <v>35</v>
      </c>
    </row>
    <row r="261" spans="1:15" x14ac:dyDescent="0.35">
      <c r="A261" t="s">
        <v>313</v>
      </c>
      <c r="B261" s="2">
        <v>46179</v>
      </c>
      <c r="C261" t="s">
        <v>60</v>
      </c>
      <c r="D261" t="s">
        <v>61</v>
      </c>
      <c r="E261" t="s">
        <v>62</v>
      </c>
      <c r="F261" t="s">
        <v>19</v>
      </c>
      <c r="G261">
        <v>2</v>
      </c>
      <c r="H261">
        <v>212830.05</v>
      </c>
      <c r="I261">
        <v>0.05</v>
      </c>
      <c r="J261">
        <v>425660.1</v>
      </c>
      <c r="K261">
        <v>21283</v>
      </c>
      <c r="L261">
        <v>7.4999999999999997E-2</v>
      </c>
      <c r="M261">
        <v>30328.28</v>
      </c>
      <c r="N261">
        <v>434705.38</v>
      </c>
      <c r="O261" t="s">
        <v>35</v>
      </c>
    </row>
    <row r="262" spans="1:15" x14ac:dyDescent="0.35">
      <c r="A262" t="s">
        <v>314</v>
      </c>
      <c r="B262" s="2">
        <v>46075</v>
      </c>
      <c r="C262" t="s">
        <v>16</v>
      </c>
      <c r="D262" t="s">
        <v>17</v>
      </c>
      <c r="E262" t="s">
        <v>18</v>
      </c>
      <c r="F262" t="s">
        <v>19</v>
      </c>
      <c r="G262">
        <v>5</v>
      </c>
      <c r="H262">
        <v>700723.13</v>
      </c>
      <c r="I262">
        <v>0</v>
      </c>
      <c r="J262">
        <v>3503615.65</v>
      </c>
      <c r="K262">
        <v>0</v>
      </c>
      <c r="L262">
        <v>7.4999999999999997E-2</v>
      </c>
      <c r="M262">
        <v>262771.17</v>
      </c>
      <c r="N262">
        <v>3766386.82</v>
      </c>
      <c r="O262" t="s">
        <v>35</v>
      </c>
    </row>
    <row r="263" spans="1:15" x14ac:dyDescent="0.35">
      <c r="A263" t="s">
        <v>315</v>
      </c>
      <c r="B263" s="2">
        <v>46087</v>
      </c>
      <c r="C263" t="s">
        <v>22</v>
      </c>
      <c r="D263" t="s">
        <v>23</v>
      </c>
      <c r="E263" t="s">
        <v>24</v>
      </c>
      <c r="F263" t="s">
        <v>19</v>
      </c>
      <c r="G263">
        <v>4</v>
      </c>
      <c r="H263">
        <v>17188.57</v>
      </c>
      <c r="I263">
        <v>0.05</v>
      </c>
      <c r="J263">
        <v>68754.28</v>
      </c>
      <c r="K263">
        <v>3437.71</v>
      </c>
      <c r="L263">
        <v>7.4999999999999997E-2</v>
      </c>
      <c r="M263">
        <v>4898.74</v>
      </c>
      <c r="N263">
        <v>70215.31</v>
      </c>
      <c r="O263" t="s">
        <v>35</v>
      </c>
    </row>
    <row r="264" spans="1:15" x14ac:dyDescent="0.35">
      <c r="A264" t="s">
        <v>316</v>
      </c>
      <c r="B264" s="2">
        <v>46072</v>
      </c>
      <c r="C264" t="s">
        <v>27</v>
      </c>
      <c r="D264" t="s">
        <v>28</v>
      </c>
      <c r="E264" t="s">
        <v>29</v>
      </c>
      <c r="F264" t="s">
        <v>30</v>
      </c>
      <c r="G264">
        <v>4</v>
      </c>
      <c r="H264">
        <v>93747.23</v>
      </c>
      <c r="I264">
        <v>0.15</v>
      </c>
      <c r="J264">
        <v>374988.92</v>
      </c>
      <c r="K264">
        <v>56248.34</v>
      </c>
      <c r="L264">
        <v>7.4999999999999997E-2</v>
      </c>
      <c r="M264">
        <v>23905.54</v>
      </c>
      <c r="N264">
        <v>342646.12</v>
      </c>
      <c r="O264" t="s">
        <v>20</v>
      </c>
    </row>
    <row r="265" spans="1:15" x14ac:dyDescent="0.35">
      <c r="A265" t="s">
        <v>317</v>
      </c>
      <c r="B265" s="2">
        <v>46078</v>
      </c>
      <c r="C265" t="s">
        <v>32</v>
      </c>
      <c r="D265" t="s">
        <v>33</v>
      </c>
      <c r="E265" t="s">
        <v>34</v>
      </c>
      <c r="F265" t="s">
        <v>30</v>
      </c>
      <c r="G265">
        <v>6</v>
      </c>
      <c r="H265">
        <v>12217.75</v>
      </c>
      <c r="I265">
        <v>0</v>
      </c>
      <c r="J265">
        <v>73306.5</v>
      </c>
      <c r="K265">
        <v>0</v>
      </c>
      <c r="L265">
        <v>7.4999999999999997E-2</v>
      </c>
      <c r="M265">
        <v>5497.99</v>
      </c>
      <c r="N265">
        <v>78804.490000000005</v>
      </c>
      <c r="O265" t="s">
        <v>35</v>
      </c>
    </row>
    <row r="266" spans="1:15" x14ac:dyDescent="0.35">
      <c r="A266" t="s">
        <v>318</v>
      </c>
      <c r="B266" s="2">
        <v>46263</v>
      </c>
      <c r="C266" t="s">
        <v>37</v>
      </c>
      <c r="D266" t="s">
        <v>38</v>
      </c>
      <c r="E266" t="s">
        <v>39</v>
      </c>
      <c r="F266" t="s">
        <v>40</v>
      </c>
      <c r="G266">
        <v>4</v>
      </c>
      <c r="H266">
        <v>158107.82</v>
      </c>
      <c r="I266">
        <v>0.05</v>
      </c>
      <c r="J266">
        <v>632431.28</v>
      </c>
      <c r="K266">
        <v>31621.56</v>
      </c>
      <c r="L266">
        <v>7.4999999999999997E-2</v>
      </c>
      <c r="M266">
        <v>45060.73</v>
      </c>
      <c r="N266">
        <v>645870.44999999995</v>
      </c>
      <c r="O266" t="s">
        <v>35</v>
      </c>
    </row>
    <row r="267" spans="1:15" x14ac:dyDescent="0.35">
      <c r="A267" t="s">
        <v>319</v>
      </c>
      <c r="B267" s="2">
        <v>46029</v>
      </c>
      <c r="C267" t="s">
        <v>42</v>
      </c>
      <c r="D267" t="s">
        <v>43</v>
      </c>
      <c r="E267" t="s">
        <v>44</v>
      </c>
      <c r="F267" t="s">
        <v>45</v>
      </c>
      <c r="G267">
        <v>3</v>
      </c>
      <c r="H267">
        <v>80600.78</v>
      </c>
      <c r="I267">
        <v>0.05</v>
      </c>
      <c r="J267">
        <v>241802.34</v>
      </c>
      <c r="K267">
        <v>12090.12</v>
      </c>
      <c r="L267">
        <v>7.4999999999999997E-2</v>
      </c>
      <c r="M267">
        <v>17228.419999999998</v>
      </c>
      <c r="N267">
        <v>246940.64</v>
      </c>
      <c r="O267" t="s">
        <v>20</v>
      </c>
    </row>
    <row r="268" spans="1:15" x14ac:dyDescent="0.35">
      <c r="A268" t="s">
        <v>320</v>
      </c>
      <c r="B268" s="2">
        <v>46203</v>
      </c>
      <c r="C268" t="s">
        <v>47</v>
      </c>
      <c r="D268" t="s">
        <v>48</v>
      </c>
      <c r="E268" t="s">
        <v>49</v>
      </c>
      <c r="F268" t="s">
        <v>50</v>
      </c>
      <c r="G268">
        <v>5</v>
      </c>
      <c r="H268">
        <v>111510.58</v>
      </c>
      <c r="I268">
        <v>0.1</v>
      </c>
      <c r="J268">
        <v>557552.9</v>
      </c>
      <c r="K268">
        <v>55755.29</v>
      </c>
      <c r="L268">
        <v>7.4999999999999997E-2</v>
      </c>
      <c r="M268">
        <v>37634.82</v>
      </c>
      <c r="N268">
        <v>539432.43000000005</v>
      </c>
      <c r="O268" t="s">
        <v>35</v>
      </c>
    </row>
    <row r="269" spans="1:15" x14ac:dyDescent="0.35">
      <c r="A269" t="s">
        <v>321</v>
      </c>
      <c r="B269" s="2">
        <v>46260</v>
      </c>
      <c r="C269" t="s">
        <v>52</v>
      </c>
      <c r="D269" t="s">
        <v>53</v>
      </c>
      <c r="E269" t="s">
        <v>54</v>
      </c>
      <c r="F269" t="s">
        <v>50</v>
      </c>
      <c r="G269">
        <v>4</v>
      </c>
      <c r="H269">
        <v>107918.53</v>
      </c>
      <c r="I269">
        <v>0</v>
      </c>
      <c r="J269">
        <v>431674.12</v>
      </c>
      <c r="K269">
        <v>0</v>
      </c>
      <c r="L269">
        <v>7.4999999999999997E-2</v>
      </c>
      <c r="M269">
        <v>32375.56</v>
      </c>
      <c r="N269">
        <v>464049.68</v>
      </c>
      <c r="O269" t="s">
        <v>35</v>
      </c>
    </row>
    <row r="270" spans="1:15" x14ac:dyDescent="0.35">
      <c r="A270" t="s">
        <v>322</v>
      </c>
      <c r="B270" s="2">
        <v>46186</v>
      </c>
      <c r="C270" t="s">
        <v>56</v>
      </c>
      <c r="D270" t="s">
        <v>57</v>
      </c>
      <c r="E270" t="s">
        <v>58</v>
      </c>
      <c r="F270" t="s">
        <v>19</v>
      </c>
      <c r="G270">
        <v>2</v>
      </c>
      <c r="H270">
        <v>25784.080000000002</v>
      </c>
      <c r="I270">
        <v>0.15</v>
      </c>
      <c r="J270">
        <v>51568.160000000003</v>
      </c>
      <c r="K270">
        <v>7735.22</v>
      </c>
      <c r="L270">
        <v>7.4999999999999997E-2</v>
      </c>
      <c r="M270">
        <v>3287.47</v>
      </c>
      <c r="N270">
        <v>47120.41</v>
      </c>
      <c r="O270" t="s">
        <v>35</v>
      </c>
    </row>
    <row r="271" spans="1:15" x14ac:dyDescent="0.35">
      <c r="A271" t="s">
        <v>323</v>
      </c>
      <c r="B271" s="2">
        <v>46099</v>
      </c>
      <c r="C271" t="s">
        <v>60</v>
      </c>
      <c r="D271" t="s">
        <v>61</v>
      </c>
      <c r="E271" t="s">
        <v>62</v>
      </c>
      <c r="F271" t="s">
        <v>19</v>
      </c>
      <c r="G271">
        <v>5</v>
      </c>
      <c r="H271">
        <v>210278.38</v>
      </c>
      <c r="I271">
        <v>0.1</v>
      </c>
      <c r="J271">
        <v>1051391.8999999999</v>
      </c>
      <c r="K271">
        <v>105139.19</v>
      </c>
      <c r="L271">
        <v>7.4999999999999997E-2</v>
      </c>
      <c r="M271">
        <v>70968.95</v>
      </c>
      <c r="N271">
        <v>1017221.66</v>
      </c>
      <c r="O271" t="s">
        <v>25</v>
      </c>
    </row>
    <row r="272" spans="1:15" x14ac:dyDescent="0.35">
      <c r="A272" t="s">
        <v>324</v>
      </c>
      <c r="B272" s="2">
        <v>46093</v>
      </c>
      <c r="C272" t="s">
        <v>16</v>
      </c>
      <c r="D272" t="s">
        <v>17</v>
      </c>
      <c r="E272" t="s">
        <v>18</v>
      </c>
      <c r="F272" t="s">
        <v>19</v>
      </c>
      <c r="G272">
        <v>5</v>
      </c>
      <c r="H272">
        <v>607514.63</v>
      </c>
      <c r="I272">
        <v>0</v>
      </c>
      <c r="J272">
        <v>3037573.15</v>
      </c>
      <c r="K272">
        <v>0</v>
      </c>
      <c r="L272">
        <v>0.1</v>
      </c>
      <c r="M272">
        <v>303757.32</v>
      </c>
      <c r="N272">
        <v>3341330.47</v>
      </c>
      <c r="O272" t="s">
        <v>35</v>
      </c>
    </row>
    <row r="273" spans="1:15" x14ac:dyDescent="0.35">
      <c r="A273" t="s">
        <v>325</v>
      </c>
      <c r="B273" s="2">
        <v>46102</v>
      </c>
      <c r="C273" t="s">
        <v>22</v>
      </c>
      <c r="D273" t="s">
        <v>23</v>
      </c>
      <c r="E273" t="s">
        <v>24</v>
      </c>
      <c r="F273" t="s">
        <v>19</v>
      </c>
      <c r="G273">
        <v>5</v>
      </c>
      <c r="H273">
        <v>19119.59</v>
      </c>
      <c r="I273">
        <v>0</v>
      </c>
      <c r="J273">
        <v>95597.95</v>
      </c>
      <c r="K273">
        <v>0</v>
      </c>
      <c r="L273">
        <v>0.1</v>
      </c>
      <c r="M273">
        <v>9559.7999999999993</v>
      </c>
      <c r="N273">
        <v>105157.75</v>
      </c>
      <c r="O273" t="s">
        <v>35</v>
      </c>
    </row>
    <row r="274" spans="1:15" x14ac:dyDescent="0.35">
      <c r="A274" t="s">
        <v>326</v>
      </c>
      <c r="B274" s="2">
        <v>46213</v>
      </c>
      <c r="C274" t="s">
        <v>27</v>
      </c>
      <c r="D274" t="s">
        <v>28</v>
      </c>
      <c r="E274" t="s">
        <v>29</v>
      </c>
      <c r="F274" t="s">
        <v>30</v>
      </c>
      <c r="G274">
        <v>7</v>
      </c>
      <c r="H274">
        <v>97359.679999999993</v>
      </c>
      <c r="I274">
        <v>0</v>
      </c>
      <c r="J274">
        <v>681517.76</v>
      </c>
      <c r="K274">
        <v>0</v>
      </c>
      <c r="L274">
        <v>7.4999999999999997E-2</v>
      </c>
      <c r="M274">
        <v>51113.83</v>
      </c>
      <c r="N274">
        <v>732631.59</v>
      </c>
      <c r="O274" t="s">
        <v>35</v>
      </c>
    </row>
    <row r="275" spans="1:15" x14ac:dyDescent="0.35">
      <c r="A275" t="s">
        <v>327</v>
      </c>
      <c r="B275" s="2">
        <v>46159</v>
      </c>
      <c r="C275" t="s">
        <v>32</v>
      </c>
      <c r="D275" t="s">
        <v>33</v>
      </c>
      <c r="E275" t="s">
        <v>34</v>
      </c>
      <c r="F275" t="s">
        <v>30</v>
      </c>
      <c r="G275">
        <v>4</v>
      </c>
      <c r="H275">
        <v>11755.56</v>
      </c>
      <c r="I275">
        <v>0.15</v>
      </c>
      <c r="J275">
        <v>47022.239999999998</v>
      </c>
      <c r="K275">
        <v>7053.34</v>
      </c>
      <c r="L275">
        <v>7.4999999999999997E-2</v>
      </c>
      <c r="M275">
        <v>2997.67</v>
      </c>
      <c r="N275">
        <v>42966.57</v>
      </c>
      <c r="O275" t="s">
        <v>35</v>
      </c>
    </row>
    <row r="276" spans="1:15" x14ac:dyDescent="0.35">
      <c r="A276" t="s">
        <v>328</v>
      </c>
      <c r="B276" s="2">
        <v>46231</v>
      </c>
      <c r="C276" t="s">
        <v>37</v>
      </c>
      <c r="D276" t="s">
        <v>38</v>
      </c>
      <c r="E276" t="s">
        <v>39</v>
      </c>
      <c r="F276" t="s">
        <v>40</v>
      </c>
      <c r="G276">
        <v>2</v>
      </c>
      <c r="H276">
        <v>139945.10999999999</v>
      </c>
      <c r="I276">
        <v>0.15</v>
      </c>
      <c r="J276">
        <v>279890.21999999997</v>
      </c>
      <c r="K276">
        <v>41983.53</v>
      </c>
      <c r="L276">
        <v>0.1</v>
      </c>
      <c r="M276">
        <v>23790.67</v>
      </c>
      <c r="N276">
        <v>261697.36</v>
      </c>
      <c r="O276" t="s">
        <v>25</v>
      </c>
    </row>
    <row r="277" spans="1:15" x14ac:dyDescent="0.35">
      <c r="A277" t="s">
        <v>329</v>
      </c>
      <c r="B277" s="2">
        <v>46250</v>
      </c>
      <c r="C277" t="s">
        <v>42</v>
      </c>
      <c r="D277" t="s">
        <v>43</v>
      </c>
      <c r="E277" t="s">
        <v>44</v>
      </c>
      <c r="F277" t="s">
        <v>45</v>
      </c>
      <c r="G277">
        <v>5</v>
      </c>
      <c r="H277">
        <v>89776.41</v>
      </c>
      <c r="I277">
        <v>0.15</v>
      </c>
      <c r="J277">
        <v>448882.05</v>
      </c>
      <c r="K277">
        <v>67332.31</v>
      </c>
      <c r="L277">
        <v>7.4999999999999997E-2</v>
      </c>
      <c r="M277">
        <v>28616.23</v>
      </c>
      <c r="N277">
        <v>410165.97</v>
      </c>
      <c r="O277" t="s">
        <v>35</v>
      </c>
    </row>
    <row r="278" spans="1:15" x14ac:dyDescent="0.35">
      <c r="A278" t="s">
        <v>330</v>
      </c>
      <c r="B278" s="2">
        <v>46124</v>
      </c>
      <c r="C278" t="s">
        <v>47</v>
      </c>
      <c r="D278" t="s">
        <v>48</v>
      </c>
      <c r="E278" t="s">
        <v>49</v>
      </c>
      <c r="F278" t="s">
        <v>50</v>
      </c>
      <c r="G278">
        <v>3</v>
      </c>
      <c r="H278">
        <v>126233.87</v>
      </c>
      <c r="I278">
        <v>0.15</v>
      </c>
      <c r="J278">
        <v>378701.61</v>
      </c>
      <c r="K278">
        <v>56805.24</v>
      </c>
      <c r="L278">
        <v>0.1</v>
      </c>
      <c r="M278">
        <v>32189.64</v>
      </c>
      <c r="N278">
        <v>354086.01</v>
      </c>
      <c r="O278" t="s">
        <v>35</v>
      </c>
    </row>
    <row r="279" spans="1:15" x14ac:dyDescent="0.35">
      <c r="A279" t="s">
        <v>331</v>
      </c>
      <c r="B279" s="2">
        <v>46173</v>
      </c>
      <c r="C279" t="s">
        <v>52</v>
      </c>
      <c r="D279" t="s">
        <v>53</v>
      </c>
      <c r="E279" t="s">
        <v>54</v>
      </c>
      <c r="F279" t="s">
        <v>50</v>
      </c>
      <c r="G279">
        <v>5</v>
      </c>
      <c r="H279">
        <v>96272.45</v>
      </c>
      <c r="I279">
        <v>0.05</v>
      </c>
      <c r="J279">
        <v>481362.25</v>
      </c>
      <c r="K279">
        <v>24068.11</v>
      </c>
      <c r="L279">
        <v>0.1</v>
      </c>
      <c r="M279">
        <v>45729.41</v>
      </c>
      <c r="N279">
        <v>503023.55</v>
      </c>
      <c r="O279" t="s">
        <v>25</v>
      </c>
    </row>
    <row r="280" spans="1:15" x14ac:dyDescent="0.35">
      <c r="A280" t="s">
        <v>332</v>
      </c>
      <c r="B280" s="2">
        <v>46195</v>
      </c>
      <c r="C280" t="s">
        <v>56</v>
      </c>
      <c r="D280" t="s">
        <v>57</v>
      </c>
      <c r="E280" t="s">
        <v>58</v>
      </c>
      <c r="F280" t="s">
        <v>19</v>
      </c>
      <c r="G280">
        <v>4</v>
      </c>
      <c r="H280">
        <v>26402.33</v>
      </c>
      <c r="I280">
        <v>0.1</v>
      </c>
      <c r="J280">
        <v>105609.32</v>
      </c>
      <c r="K280">
        <v>10560.93</v>
      </c>
      <c r="L280">
        <v>0.1</v>
      </c>
      <c r="M280">
        <v>9504.84</v>
      </c>
      <c r="N280">
        <v>104553.23</v>
      </c>
      <c r="O280" t="s">
        <v>35</v>
      </c>
    </row>
    <row r="281" spans="1:15" x14ac:dyDescent="0.35">
      <c r="A281" t="s">
        <v>333</v>
      </c>
      <c r="B281" s="2">
        <v>46217</v>
      </c>
      <c r="C281" t="s">
        <v>60</v>
      </c>
      <c r="D281" t="s">
        <v>61</v>
      </c>
      <c r="E281" t="s">
        <v>62</v>
      </c>
      <c r="F281" t="s">
        <v>19</v>
      </c>
      <c r="G281">
        <v>5</v>
      </c>
      <c r="H281">
        <v>226951</v>
      </c>
      <c r="I281">
        <v>0.05</v>
      </c>
      <c r="J281">
        <v>1134755</v>
      </c>
      <c r="K281">
        <v>56737.75</v>
      </c>
      <c r="L281">
        <v>0.1</v>
      </c>
      <c r="M281">
        <v>107801.72</v>
      </c>
      <c r="N281">
        <v>1185818.97</v>
      </c>
      <c r="O281" t="s">
        <v>20</v>
      </c>
    </row>
    <row r="282" spans="1:15" x14ac:dyDescent="0.35">
      <c r="A282" t="s">
        <v>334</v>
      </c>
      <c r="B282" s="2">
        <v>46084</v>
      </c>
      <c r="C282" t="s">
        <v>16</v>
      </c>
      <c r="D282" t="s">
        <v>17</v>
      </c>
      <c r="E282" t="s">
        <v>18</v>
      </c>
      <c r="F282" t="s">
        <v>19</v>
      </c>
      <c r="G282">
        <v>4</v>
      </c>
      <c r="H282">
        <v>614494.93000000005</v>
      </c>
      <c r="I282">
        <v>0.1</v>
      </c>
      <c r="J282">
        <v>2457979.7200000002</v>
      </c>
      <c r="K282">
        <v>245797.97</v>
      </c>
      <c r="L282">
        <v>7.4999999999999997E-2</v>
      </c>
      <c r="M282">
        <v>165913.63</v>
      </c>
      <c r="N282">
        <v>2378095.38</v>
      </c>
      <c r="O282" t="s">
        <v>35</v>
      </c>
    </row>
    <row r="283" spans="1:15" x14ac:dyDescent="0.35">
      <c r="A283" t="s">
        <v>335</v>
      </c>
      <c r="B283" s="2">
        <v>46133</v>
      </c>
      <c r="C283" t="s">
        <v>22</v>
      </c>
      <c r="D283" t="s">
        <v>23</v>
      </c>
      <c r="E283" t="s">
        <v>24</v>
      </c>
      <c r="F283" t="s">
        <v>19</v>
      </c>
      <c r="G283">
        <v>7</v>
      </c>
      <c r="H283">
        <v>18938.349999999999</v>
      </c>
      <c r="I283">
        <v>0.05</v>
      </c>
      <c r="J283">
        <v>132568.45000000001</v>
      </c>
      <c r="K283">
        <v>6628.42</v>
      </c>
      <c r="L283">
        <v>0.1</v>
      </c>
      <c r="M283">
        <v>12594</v>
      </c>
      <c r="N283">
        <v>138534.03</v>
      </c>
      <c r="O283" t="s">
        <v>35</v>
      </c>
    </row>
    <row r="284" spans="1:15" x14ac:dyDescent="0.35">
      <c r="A284" t="s">
        <v>336</v>
      </c>
      <c r="B284" s="2">
        <v>46232</v>
      </c>
      <c r="C284" t="s">
        <v>27</v>
      </c>
      <c r="D284" t="s">
        <v>28</v>
      </c>
      <c r="E284" t="s">
        <v>29</v>
      </c>
      <c r="F284" t="s">
        <v>30</v>
      </c>
      <c r="G284">
        <v>7</v>
      </c>
      <c r="H284">
        <v>89843.55</v>
      </c>
      <c r="I284">
        <v>0.15</v>
      </c>
      <c r="J284">
        <v>628904.85</v>
      </c>
      <c r="K284">
        <v>94335.73</v>
      </c>
      <c r="L284">
        <v>0.1</v>
      </c>
      <c r="M284">
        <v>53456.91</v>
      </c>
      <c r="N284">
        <v>588026.03</v>
      </c>
      <c r="O284" t="s">
        <v>20</v>
      </c>
    </row>
    <row r="285" spans="1:15" x14ac:dyDescent="0.35">
      <c r="A285" t="s">
        <v>337</v>
      </c>
      <c r="B285" s="2">
        <v>46072</v>
      </c>
      <c r="C285" t="s">
        <v>32</v>
      </c>
      <c r="D285" t="s">
        <v>33</v>
      </c>
      <c r="E285" t="s">
        <v>34</v>
      </c>
      <c r="F285" t="s">
        <v>30</v>
      </c>
      <c r="G285">
        <v>4</v>
      </c>
      <c r="H285">
        <v>11052.26</v>
      </c>
      <c r="I285">
        <v>0.15</v>
      </c>
      <c r="J285">
        <v>44209.04</v>
      </c>
      <c r="K285">
        <v>6631.36</v>
      </c>
      <c r="L285">
        <v>7.4999999999999997E-2</v>
      </c>
      <c r="M285">
        <v>2818.33</v>
      </c>
      <c r="N285">
        <v>40396.01</v>
      </c>
      <c r="O285" t="s">
        <v>35</v>
      </c>
    </row>
    <row r="286" spans="1:15" x14ac:dyDescent="0.35">
      <c r="A286" t="s">
        <v>338</v>
      </c>
      <c r="B286" s="2">
        <v>46214</v>
      </c>
      <c r="C286" t="s">
        <v>37</v>
      </c>
      <c r="D286" t="s">
        <v>38</v>
      </c>
      <c r="E286" t="s">
        <v>39</v>
      </c>
      <c r="F286" t="s">
        <v>40</v>
      </c>
      <c r="G286">
        <v>1</v>
      </c>
      <c r="H286">
        <v>153163.51999999999</v>
      </c>
      <c r="I286">
        <v>0.1</v>
      </c>
      <c r="J286">
        <v>153163.51999999999</v>
      </c>
      <c r="K286">
        <v>15316.35</v>
      </c>
      <c r="L286">
        <v>0.1</v>
      </c>
      <c r="M286">
        <v>13784.72</v>
      </c>
      <c r="N286">
        <v>151631.89000000001</v>
      </c>
      <c r="O286" t="s">
        <v>35</v>
      </c>
    </row>
    <row r="287" spans="1:15" x14ac:dyDescent="0.35">
      <c r="A287" t="s">
        <v>339</v>
      </c>
      <c r="B287" s="2">
        <v>46184</v>
      </c>
      <c r="C287" t="s">
        <v>42</v>
      </c>
      <c r="D287" t="s">
        <v>43</v>
      </c>
      <c r="E287" t="s">
        <v>44</v>
      </c>
      <c r="F287" t="s">
        <v>45</v>
      </c>
      <c r="G287">
        <v>5</v>
      </c>
      <c r="H287">
        <v>88805.9</v>
      </c>
      <c r="I287">
        <v>0.05</v>
      </c>
      <c r="J287">
        <v>444029.5</v>
      </c>
      <c r="K287">
        <v>22201.48</v>
      </c>
      <c r="L287">
        <v>7.4999999999999997E-2</v>
      </c>
      <c r="M287">
        <v>31637.1</v>
      </c>
      <c r="N287">
        <v>453465.12</v>
      </c>
      <c r="O287" t="s">
        <v>35</v>
      </c>
    </row>
    <row r="288" spans="1:15" x14ac:dyDescent="0.35">
      <c r="A288" t="s">
        <v>340</v>
      </c>
      <c r="B288" s="2">
        <v>46086</v>
      </c>
      <c r="C288" t="s">
        <v>47</v>
      </c>
      <c r="D288" t="s">
        <v>48</v>
      </c>
      <c r="E288" t="s">
        <v>49</v>
      </c>
      <c r="F288" t="s">
        <v>50</v>
      </c>
      <c r="G288">
        <v>1</v>
      </c>
      <c r="H288">
        <v>128889.45</v>
      </c>
      <c r="I288">
        <v>0.1</v>
      </c>
      <c r="J288">
        <v>128889.45</v>
      </c>
      <c r="K288">
        <v>12888.94</v>
      </c>
      <c r="L288">
        <v>0.1</v>
      </c>
      <c r="M288">
        <v>11600.05</v>
      </c>
      <c r="N288">
        <v>127600.56</v>
      </c>
      <c r="O288" t="s">
        <v>35</v>
      </c>
    </row>
    <row r="289" spans="1:15" x14ac:dyDescent="0.35">
      <c r="A289" t="s">
        <v>341</v>
      </c>
      <c r="B289" s="2">
        <v>46122</v>
      </c>
      <c r="C289" t="s">
        <v>52</v>
      </c>
      <c r="D289" t="s">
        <v>53</v>
      </c>
      <c r="E289" t="s">
        <v>54</v>
      </c>
      <c r="F289" t="s">
        <v>50</v>
      </c>
      <c r="G289">
        <v>5</v>
      </c>
      <c r="H289">
        <v>93640.16</v>
      </c>
      <c r="I289">
        <v>0.15</v>
      </c>
      <c r="J289">
        <v>468200.8</v>
      </c>
      <c r="K289">
        <v>70230.12</v>
      </c>
      <c r="L289">
        <v>0.1</v>
      </c>
      <c r="M289">
        <v>39797.07</v>
      </c>
      <c r="N289">
        <v>437767.75</v>
      </c>
      <c r="O289" t="s">
        <v>20</v>
      </c>
    </row>
    <row r="290" spans="1:15" x14ac:dyDescent="0.35">
      <c r="A290" t="s">
        <v>342</v>
      </c>
      <c r="B290" s="2">
        <v>46176</v>
      </c>
      <c r="C290" t="s">
        <v>56</v>
      </c>
      <c r="D290" t="s">
        <v>57</v>
      </c>
      <c r="E290" t="s">
        <v>58</v>
      </c>
      <c r="F290" t="s">
        <v>19</v>
      </c>
      <c r="G290">
        <v>4</v>
      </c>
      <c r="H290">
        <v>24203.85</v>
      </c>
      <c r="I290">
        <v>0</v>
      </c>
      <c r="J290">
        <v>96815.4</v>
      </c>
      <c r="K290">
        <v>0</v>
      </c>
      <c r="L290">
        <v>0.1</v>
      </c>
      <c r="M290">
        <v>9681.5400000000009</v>
      </c>
      <c r="N290">
        <v>106496.94</v>
      </c>
      <c r="O290" t="s">
        <v>20</v>
      </c>
    </row>
    <row r="291" spans="1:15" x14ac:dyDescent="0.35">
      <c r="A291" t="s">
        <v>343</v>
      </c>
      <c r="B291" s="2">
        <v>46236</v>
      </c>
      <c r="C291" t="s">
        <v>60</v>
      </c>
      <c r="D291" t="s">
        <v>61</v>
      </c>
      <c r="E291" t="s">
        <v>62</v>
      </c>
      <c r="F291" t="s">
        <v>19</v>
      </c>
      <c r="G291">
        <v>6</v>
      </c>
      <c r="H291">
        <v>214575.08</v>
      </c>
      <c r="I291">
        <v>0.05</v>
      </c>
      <c r="J291">
        <v>1287450.48</v>
      </c>
      <c r="K291">
        <v>64372.52</v>
      </c>
      <c r="L291">
        <v>0.1</v>
      </c>
      <c r="M291">
        <v>122307.8</v>
      </c>
      <c r="N291">
        <v>1345385.76</v>
      </c>
      <c r="O291" t="s">
        <v>25</v>
      </c>
    </row>
    <row r="292" spans="1:15" x14ac:dyDescent="0.35">
      <c r="A292" t="s">
        <v>344</v>
      </c>
      <c r="B292" s="2">
        <v>46253</v>
      </c>
      <c r="C292" t="s">
        <v>16</v>
      </c>
      <c r="D292" t="s">
        <v>17</v>
      </c>
      <c r="E292" t="s">
        <v>18</v>
      </c>
      <c r="F292" t="s">
        <v>19</v>
      </c>
      <c r="G292">
        <v>7</v>
      </c>
      <c r="H292">
        <v>698763.3</v>
      </c>
      <c r="I292">
        <v>0.15</v>
      </c>
      <c r="J292">
        <v>4891343.0999999996</v>
      </c>
      <c r="K292">
        <v>733701.46</v>
      </c>
      <c r="L292">
        <v>7.4999999999999997E-2</v>
      </c>
      <c r="M292">
        <v>311823.12</v>
      </c>
      <c r="N292">
        <v>4469464.76</v>
      </c>
      <c r="O292" t="s">
        <v>20</v>
      </c>
    </row>
    <row r="293" spans="1:15" x14ac:dyDescent="0.35">
      <c r="A293" t="s">
        <v>345</v>
      </c>
      <c r="B293" s="2">
        <v>46160</v>
      </c>
      <c r="C293" t="s">
        <v>22</v>
      </c>
      <c r="D293" t="s">
        <v>23</v>
      </c>
      <c r="E293" t="s">
        <v>24</v>
      </c>
      <c r="F293" t="s">
        <v>19</v>
      </c>
      <c r="G293">
        <v>4</v>
      </c>
      <c r="H293">
        <v>16630.810000000001</v>
      </c>
      <c r="I293">
        <v>0.1</v>
      </c>
      <c r="J293">
        <v>66523.240000000005</v>
      </c>
      <c r="K293">
        <v>6652.32</v>
      </c>
      <c r="L293">
        <v>7.4999999999999997E-2</v>
      </c>
      <c r="M293">
        <v>4490.32</v>
      </c>
      <c r="N293">
        <v>64361.24</v>
      </c>
      <c r="O293" t="s">
        <v>35</v>
      </c>
    </row>
    <row r="294" spans="1:15" x14ac:dyDescent="0.35">
      <c r="A294" t="s">
        <v>346</v>
      </c>
      <c r="B294" s="2">
        <v>46252</v>
      </c>
      <c r="C294" t="s">
        <v>27</v>
      </c>
      <c r="D294" t="s">
        <v>28</v>
      </c>
      <c r="E294" t="s">
        <v>29</v>
      </c>
      <c r="F294" t="s">
        <v>30</v>
      </c>
      <c r="G294">
        <v>3</v>
      </c>
      <c r="H294">
        <v>91238.13</v>
      </c>
      <c r="I294">
        <v>0.1</v>
      </c>
      <c r="J294">
        <v>273714.39</v>
      </c>
      <c r="K294">
        <v>27371.439999999999</v>
      </c>
      <c r="L294">
        <v>0.1</v>
      </c>
      <c r="M294">
        <v>24634.3</v>
      </c>
      <c r="N294">
        <v>270977.25</v>
      </c>
      <c r="O294" t="s">
        <v>35</v>
      </c>
    </row>
    <row r="295" spans="1:15" x14ac:dyDescent="0.35">
      <c r="A295" t="s">
        <v>347</v>
      </c>
      <c r="B295" s="2">
        <v>46259</v>
      </c>
      <c r="C295" t="s">
        <v>32</v>
      </c>
      <c r="D295" t="s">
        <v>33</v>
      </c>
      <c r="E295" t="s">
        <v>34</v>
      </c>
      <c r="F295" t="s">
        <v>30</v>
      </c>
      <c r="G295">
        <v>5</v>
      </c>
      <c r="H295">
        <v>12853.06</v>
      </c>
      <c r="I295">
        <v>0.1</v>
      </c>
      <c r="J295">
        <v>64265.3</v>
      </c>
      <c r="K295">
        <v>6426.53</v>
      </c>
      <c r="L295">
        <v>7.4999999999999997E-2</v>
      </c>
      <c r="M295">
        <v>4337.91</v>
      </c>
      <c r="N295">
        <v>62176.68</v>
      </c>
      <c r="O295" t="s">
        <v>35</v>
      </c>
    </row>
    <row r="296" spans="1:15" x14ac:dyDescent="0.35">
      <c r="A296" t="s">
        <v>348</v>
      </c>
      <c r="B296" s="2">
        <v>46058</v>
      </c>
      <c r="C296" t="s">
        <v>37</v>
      </c>
      <c r="D296" t="s">
        <v>38</v>
      </c>
      <c r="E296" t="s">
        <v>39</v>
      </c>
      <c r="F296" t="s">
        <v>40</v>
      </c>
      <c r="G296">
        <v>7</v>
      </c>
      <c r="H296">
        <v>157822.1</v>
      </c>
      <c r="I296">
        <v>0.1</v>
      </c>
      <c r="J296">
        <v>1104754.7</v>
      </c>
      <c r="K296">
        <v>110475.47</v>
      </c>
      <c r="L296">
        <v>0.1</v>
      </c>
      <c r="M296">
        <v>99427.92</v>
      </c>
      <c r="N296">
        <v>1093707.1499999999</v>
      </c>
      <c r="O296" t="s">
        <v>35</v>
      </c>
    </row>
    <row r="297" spans="1:15" x14ac:dyDescent="0.35">
      <c r="A297" t="s">
        <v>349</v>
      </c>
      <c r="B297" s="2">
        <v>46221</v>
      </c>
      <c r="C297" t="s">
        <v>42</v>
      </c>
      <c r="D297" t="s">
        <v>43</v>
      </c>
      <c r="E297" t="s">
        <v>44</v>
      </c>
      <c r="F297" t="s">
        <v>45</v>
      </c>
      <c r="G297">
        <v>6</v>
      </c>
      <c r="H297">
        <v>81328.73</v>
      </c>
      <c r="I297">
        <v>0.1</v>
      </c>
      <c r="J297">
        <v>487972.38</v>
      </c>
      <c r="K297">
        <v>48797.24</v>
      </c>
      <c r="L297">
        <v>7.4999999999999997E-2</v>
      </c>
      <c r="M297">
        <v>32938.14</v>
      </c>
      <c r="N297">
        <v>472113.28</v>
      </c>
      <c r="O297" t="s">
        <v>25</v>
      </c>
    </row>
    <row r="298" spans="1:15" x14ac:dyDescent="0.35">
      <c r="A298" t="s">
        <v>350</v>
      </c>
      <c r="B298" s="2">
        <v>46073</v>
      </c>
      <c r="C298" t="s">
        <v>47</v>
      </c>
      <c r="D298" t="s">
        <v>48</v>
      </c>
      <c r="E298" t="s">
        <v>49</v>
      </c>
      <c r="F298" t="s">
        <v>50</v>
      </c>
      <c r="G298">
        <v>4</v>
      </c>
      <c r="H298">
        <v>111001</v>
      </c>
      <c r="I298">
        <v>0</v>
      </c>
      <c r="J298">
        <v>444004</v>
      </c>
      <c r="K298">
        <v>0</v>
      </c>
      <c r="L298">
        <v>7.4999999999999997E-2</v>
      </c>
      <c r="M298">
        <v>33300.300000000003</v>
      </c>
      <c r="N298">
        <v>477304.3</v>
      </c>
      <c r="O298" t="s">
        <v>35</v>
      </c>
    </row>
    <row r="299" spans="1:15" x14ac:dyDescent="0.35">
      <c r="A299" t="s">
        <v>351</v>
      </c>
      <c r="B299" s="2">
        <v>46223</v>
      </c>
      <c r="C299" t="s">
        <v>52</v>
      </c>
      <c r="D299" t="s">
        <v>53</v>
      </c>
      <c r="E299" t="s">
        <v>54</v>
      </c>
      <c r="F299" t="s">
        <v>50</v>
      </c>
      <c r="G299">
        <v>3</v>
      </c>
      <c r="H299">
        <v>107432.33</v>
      </c>
      <c r="I299">
        <v>0.1</v>
      </c>
      <c r="J299">
        <v>322296.99</v>
      </c>
      <c r="K299">
        <v>32229.7</v>
      </c>
      <c r="L299">
        <v>7.4999999999999997E-2</v>
      </c>
      <c r="M299">
        <v>21755.05</v>
      </c>
      <c r="N299">
        <v>311822.34000000003</v>
      </c>
      <c r="O299" t="s">
        <v>25</v>
      </c>
    </row>
    <row r="300" spans="1:15" x14ac:dyDescent="0.35">
      <c r="A300" t="s">
        <v>352</v>
      </c>
      <c r="B300" s="2">
        <v>46188</v>
      </c>
      <c r="C300" t="s">
        <v>56</v>
      </c>
      <c r="D300" t="s">
        <v>57</v>
      </c>
      <c r="E300" t="s">
        <v>58</v>
      </c>
      <c r="F300" t="s">
        <v>19</v>
      </c>
      <c r="G300">
        <v>1</v>
      </c>
      <c r="H300">
        <v>24282.97</v>
      </c>
      <c r="I300">
        <v>0.05</v>
      </c>
      <c r="J300">
        <v>24282.97</v>
      </c>
      <c r="K300">
        <v>1214.1500000000001</v>
      </c>
      <c r="L300">
        <v>7.4999999999999997E-2</v>
      </c>
      <c r="M300">
        <v>1730.16</v>
      </c>
      <c r="N300">
        <v>24798.98</v>
      </c>
      <c r="O300" t="s">
        <v>35</v>
      </c>
    </row>
    <row r="301" spans="1:15" x14ac:dyDescent="0.35">
      <c r="A301" t="s">
        <v>353</v>
      </c>
      <c r="B301" s="2">
        <v>46041</v>
      </c>
      <c r="C301" t="s">
        <v>60</v>
      </c>
      <c r="D301" t="s">
        <v>61</v>
      </c>
      <c r="E301" t="s">
        <v>62</v>
      </c>
      <c r="F301" t="s">
        <v>354</v>
      </c>
      <c r="G301">
        <v>1</v>
      </c>
      <c r="H301">
        <v>225338.67</v>
      </c>
      <c r="I301">
        <v>0.15</v>
      </c>
      <c r="J301">
        <v>225338.67</v>
      </c>
      <c r="K301">
        <v>33800.800000000003</v>
      </c>
      <c r="L301">
        <v>0.1</v>
      </c>
      <c r="M301">
        <v>19153.79</v>
      </c>
      <c r="N301">
        <v>210691.66</v>
      </c>
      <c r="O301" t="s">
        <v>35</v>
      </c>
    </row>
    <row r="302" spans="1:15" x14ac:dyDescent="0.35">
      <c r="A302" t="s">
        <v>355</v>
      </c>
      <c r="B302" s="2">
        <v>46171</v>
      </c>
      <c r="C302" t="s">
        <v>16</v>
      </c>
      <c r="D302" t="s">
        <v>17</v>
      </c>
      <c r="E302" t="s">
        <v>18</v>
      </c>
      <c r="F302" t="s">
        <v>19</v>
      </c>
      <c r="G302">
        <v>3</v>
      </c>
      <c r="H302">
        <v>698692.12</v>
      </c>
      <c r="I302">
        <v>0.05</v>
      </c>
      <c r="J302">
        <v>2096076.36</v>
      </c>
      <c r="K302">
        <v>104803.82</v>
      </c>
      <c r="L302">
        <v>7.4999999999999997E-2</v>
      </c>
      <c r="M302">
        <v>149345.44</v>
      </c>
      <c r="N302">
        <v>2140617.98</v>
      </c>
      <c r="O302" t="s">
        <v>35</v>
      </c>
    </row>
    <row r="303" spans="1:15" x14ac:dyDescent="0.35">
      <c r="A303" t="s">
        <v>356</v>
      </c>
      <c r="B303" s="2">
        <v>46225</v>
      </c>
      <c r="C303" t="s">
        <v>22</v>
      </c>
      <c r="D303" t="s">
        <v>23</v>
      </c>
      <c r="E303" t="s">
        <v>24</v>
      </c>
      <c r="F303" t="s">
        <v>19</v>
      </c>
      <c r="G303">
        <v>7</v>
      </c>
      <c r="H303">
        <v>17866.64</v>
      </c>
      <c r="I303">
        <v>0.05</v>
      </c>
      <c r="J303">
        <v>125066.48</v>
      </c>
      <c r="K303">
        <v>6253.32</v>
      </c>
      <c r="L303">
        <v>0.1</v>
      </c>
      <c r="M303">
        <v>11881.32</v>
      </c>
      <c r="N303">
        <v>130694.48</v>
      </c>
      <c r="O303" t="s">
        <v>20</v>
      </c>
    </row>
    <row r="304" spans="1:15" x14ac:dyDescent="0.35">
      <c r="A304" t="s">
        <v>357</v>
      </c>
      <c r="B304" s="2">
        <v>46157</v>
      </c>
      <c r="C304" t="s">
        <v>27</v>
      </c>
      <c r="D304" t="s">
        <v>28</v>
      </c>
      <c r="E304" t="s">
        <v>29</v>
      </c>
      <c r="F304" t="s">
        <v>30</v>
      </c>
      <c r="G304">
        <v>4</v>
      </c>
      <c r="H304">
        <v>87894.399999999994</v>
      </c>
      <c r="I304">
        <v>0.15</v>
      </c>
      <c r="J304">
        <v>351577.59999999998</v>
      </c>
      <c r="K304">
        <v>52736.639999999999</v>
      </c>
      <c r="L304">
        <v>0.1</v>
      </c>
      <c r="M304">
        <v>29884.1</v>
      </c>
      <c r="N304">
        <v>328725.06</v>
      </c>
      <c r="O304" t="s">
        <v>35</v>
      </c>
    </row>
    <row r="305" spans="1:15" x14ac:dyDescent="0.35">
      <c r="A305" t="s">
        <v>358</v>
      </c>
      <c r="B305" s="2">
        <v>46043</v>
      </c>
      <c r="C305" t="s">
        <v>32</v>
      </c>
      <c r="D305" t="s">
        <v>33</v>
      </c>
      <c r="E305" t="s">
        <v>34</v>
      </c>
      <c r="F305" t="s">
        <v>30</v>
      </c>
      <c r="G305">
        <v>7</v>
      </c>
      <c r="H305">
        <v>11964.52</v>
      </c>
      <c r="I305">
        <v>0.05</v>
      </c>
      <c r="J305">
        <v>83751.64</v>
      </c>
      <c r="K305">
        <v>4187.58</v>
      </c>
      <c r="L305">
        <v>7.4999999999999997E-2</v>
      </c>
      <c r="M305">
        <v>5967.3</v>
      </c>
      <c r="N305">
        <v>85531.36</v>
      </c>
      <c r="O305" t="s">
        <v>20</v>
      </c>
    </row>
    <row r="306" spans="1:15" x14ac:dyDescent="0.35">
      <c r="A306" t="s">
        <v>359</v>
      </c>
      <c r="B306" s="2">
        <v>46214</v>
      </c>
      <c r="C306" t="s">
        <v>37</v>
      </c>
      <c r="D306" t="s">
        <v>38</v>
      </c>
      <c r="E306" t="s">
        <v>39</v>
      </c>
      <c r="F306" t="s">
        <v>40</v>
      </c>
      <c r="G306">
        <v>4</v>
      </c>
      <c r="H306">
        <v>148327.34</v>
      </c>
      <c r="I306">
        <v>0.05</v>
      </c>
      <c r="J306">
        <v>593309.36</v>
      </c>
      <c r="K306">
        <v>29665.47</v>
      </c>
      <c r="L306">
        <v>0.1</v>
      </c>
      <c r="M306">
        <v>56364.39</v>
      </c>
      <c r="N306">
        <v>620008.28</v>
      </c>
      <c r="O306" t="s">
        <v>35</v>
      </c>
    </row>
    <row r="307" spans="1:15" x14ac:dyDescent="0.35">
      <c r="A307" t="s">
        <v>360</v>
      </c>
      <c r="B307" s="2">
        <v>46098</v>
      </c>
      <c r="C307" t="s">
        <v>42</v>
      </c>
      <c r="D307" t="s">
        <v>43</v>
      </c>
      <c r="E307" t="s">
        <v>44</v>
      </c>
      <c r="F307" t="s">
        <v>45</v>
      </c>
      <c r="G307">
        <v>6</v>
      </c>
      <c r="H307">
        <v>82632.59</v>
      </c>
      <c r="I307">
        <v>0.05</v>
      </c>
      <c r="J307">
        <v>495795.54</v>
      </c>
      <c r="K307">
        <v>24789.78</v>
      </c>
      <c r="L307">
        <v>0.1</v>
      </c>
      <c r="M307">
        <v>47100.58</v>
      </c>
      <c r="N307">
        <v>518106.34</v>
      </c>
      <c r="O307" t="s">
        <v>35</v>
      </c>
    </row>
    <row r="308" spans="1:15" x14ac:dyDescent="0.35">
      <c r="A308" t="s">
        <v>361</v>
      </c>
      <c r="B308" s="2">
        <v>46248</v>
      </c>
      <c r="C308" t="s">
        <v>47</v>
      </c>
      <c r="D308" t="s">
        <v>48</v>
      </c>
      <c r="E308" t="s">
        <v>49</v>
      </c>
      <c r="F308" t="s">
        <v>50</v>
      </c>
      <c r="G308">
        <v>5</v>
      </c>
      <c r="H308">
        <v>113271.95</v>
      </c>
      <c r="I308">
        <v>0</v>
      </c>
      <c r="J308">
        <v>566359.75</v>
      </c>
      <c r="K308">
        <v>0</v>
      </c>
      <c r="L308">
        <v>0.1</v>
      </c>
      <c r="M308">
        <v>56635.98</v>
      </c>
      <c r="N308">
        <v>622995.73</v>
      </c>
      <c r="O308" t="s">
        <v>35</v>
      </c>
    </row>
    <row r="309" spans="1:15" x14ac:dyDescent="0.35">
      <c r="A309" t="s">
        <v>362</v>
      </c>
      <c r="B309" s="2">
        <v>46037</v>
      </c>
      <c r="C309" t="s">
        <v>52</v>
      </c>
      <c r="D309" t="s">
        <v>53</v>
      </c>
      <c r="E309" t="s">
        <v>54</v>
      </c>
      <c r="F309" t="s">
        <v>50</v>
      </c>
      <c r="G309">
        <v>6</v>
      </c>
      <c r="H309">
        <v>107595.2</v>
      </c>
      <c r="I309">
        <v>0.05</v>
      </c>
      <c r="J309">
        <v>645571.19999999995</v>
      </c>
      <c r="K309">
        <v>32278.560000000001</v>
      </c>
      <c r="L309">
        <v>0.1</v>
      </c>
      <c r="M309">
        <v>61329.26</v>
      </c>
      <c r="N309">
        <v>674621.9</v>
      </c>
      <c r="O309" t="s">
        <v>20</v>
      </c>
    </row>
    <row r="310" spans="1:15" x14ac:dyDescent="0.35">
      <c r="A310" t="s">
        <v>363</v>
      </c>
      <c r="B310" s="2">
        <v>46037</v>
      </c>
      <c r="C310" t="s">
        <v>56</v>
      </c>
      <c r="D310" t="s">
        <v>57</v>
      </c>
      <c r="E310" t="s">
        <v>58</v>
      </c>
      <c r="F310" t="s">
        <v>19</v>
      </c>
      <c r="G310">
        <v>1</v>
      </c>
      <c r="H310">
        <v>26810.59</v>
      </c>
      <c r="I310">
        <v>0</v>
      </c>
      <c r="J310">
        <v>26810.59</v>
      </c>
      <c r="K310">
        <v>0</v>
      </c>
      <c r="L310">
        <v>0.1</v>
      </c>
      <c r="M310">
        <v>2681.06</v>
      </c>
      <c r="N310">
        <v>29491.65</v>
      </c>
      <c r="O310" t="s">
        <v>35</v>
      </c>
    </row>
    <row r="311" spans="1:15" x14ac:dyDescent="0.35">
      <c r="A311" t="s">
        <v>364</v>
      </c>
      <c r="B311" s="2">
        <v>46186</v>
      </c>
      <c r="C311" t="s">
        <v>60</v>
      </c>
      <c r="D311" t="s">
        <v>61</v>
      </c>
      <c r="E311" t="s">
        <v>62</v>
      </c>
      <c r="F311" t="s">
        <v>19</v>
      </c>
      <c r="G311">
        <v>1</v>
      </c>
      <c r="H311">
        <v>210919.98</v>
      </c>
      <c r="I311">
        <v>0</v>
      </c>
      <c r="J311">
        <v>210919.98</v>
      </c>
      <c r="K311">
        <v>0</v>
      </c>
      <c r="L311">
        <v>0.1</v>
      </c>
      <c r="M311">
        <v>21092</v>
      </c>
      <c r="N311">
        <v>232011.98</v>
      </c>
      <c r="O311" t="s">
        <v>35</v>
      </c>
    </row>
    <row r="312" spans="1:15" x14ac:dyDescent="0.35">
      <c r="A312" t="s">
        <v>365</v>
      </c>
      <c r="B312" s="2">
        <v>46228</v>
      </c>
      <c r="C312" t="s">
        <v>16</v>
      </c>
      <c r="D312" t="s">
        <v>17</v>
      </c>
      <c r="E312" t="s">
        <v>18</v>
      </c>
      <c r="F312" t="s">
        <v>19</v>
      </c>
      <c r="G312">
        <v>6</v>
      </c>
      <c r="H312">
        <v>662288.19999999995</v>
      </c>
      <c r="I312">
        <v>0.15</v>
      </c>
      <c r="J312">
        <v>3973729.2</v>
      </c>
      <c r="K312">
        <v>596059.38</v>
      </c>
      <c r="L312">
        <v>7.4999999999999997E-2</v>
      </c>
      <c r="M312">
        <v>253325.24</v>
      </c>
      <c r="N312">
        <v>3630995.06</v>
      </c>
      <c r="O312" t="s">
        <v>20</v>
      </c>
    </row>
    <row r="313" spans="1:15" x14ac:dyDescent="0.35">
      <c r="A313" t="s">
        <v>366</v>
      </c>
      <c r="B313" s="2">
        <v>46059</v>
      </c>
      <c r="C313" t="s">
        <v>22</v>
      </c>
      <c r="D313" t="s">
        <v>23</v>
      </c>
      <c r="E313" t="s">
        <v>24</v>
      </c>
      <c r="F313" t="s">
        <v>19</v>
      </c>
      <c r="G313">
        <v>2</v>
      </c>
      <c r="H313">
        <v>17500.21</v>
      </c>
      <c r="I313">
        <v>0.05</v>
      </c>
      <c r="J313">
        <v>35000.42</v>
      </c>
      <c r="K313">
        <v>1750.02</v>
      </c>
      <c r="L313">
        <v>7.4999999999999997E-2</v>
      </c>
      <c r="M313">
        <v>2493.7800000000002</v>
      </c>
      <c r="N313">
        <v>35744.18</v>
      </c>
      <c r="O313" t="s">
        <v>25</v>
      </c>
    </row>
    <row r="314" spans="1:15" x14ac:dyDescent="0.35">
      <c r="A314" t="s">
        <v>367</v>
      </c>
      <c r="B314" s="2">
        <v>46176</v>
      </c>
      <c r="C314" t="s">
        <v>27</v>
      </c>
      <c r="D314" t="s">
        <v>28</v>
      </c>
      <c r="E314" t="s">
        <v>29</v>
      </c>
      <c r="F314" t="s">
        <v>30</v>
      </c>
      <c r="G314">
        <v>6</v>
      </c>
      <c r="H314">
        <v>87904.69</v>
      </c>
      <c r="I314">
        <v>0.15</v>
      </c>
      <c r="J314">
        <v>527428.14</v>
      </c>
      <c r="K314">
        <v>79114.22</v>
      </c>
      <c r="L314">
        <v>0.1</v>
      </c>
      <c r="M314">
        <v>44831.39</v>
      </c>
      <c r="N314">
        <v>493145.31</v>
      </c>
      <c r="O314" t="s">
        <v>35</v>
      </c>
    </row>
    <row r="315" spans="1:15" x14ac:dyDescent="0.35">
      <c r="A315" t="s">
        <v>368</v>
      </c>
      <c r="B315" s="2">
        <v>46169</v>
      </c>
      <c r="C315" t="s">
        <v>32</v>
      </c>
      <c r="D315" t="s">
        <v>33</v>
      </c>
      <c r="E315" t="s">
        <v>34</v>
      </c>
      <c r="F315" t="s">
        <v>30</v>
      </c>
      <c r="G315">
        <v>6</v>
      </c>
      <c r="H315">
        <v>12129.68</v>
      </c>
      <c r="I315">
        <v>0.05</v>
      </c>
      <c r="J315">
        <v>72778.080000000002</v>
      </c>
      <c r="K315">
        <v>3638.9</v>
      </c>
      <c r="L315">
        <v>0.1</v>
      </c>
      <c r="M315">
        <v>6913.92</v>
      </c>
      <c r="N315">
        <v>76053.100000000006</v>
      </c>
      <c r="O315" t="s">
        <v>35</v>
      </c>
    </row>
    <row r="316" spans="1:15" x14ac:dyDescent="0.35">
      <c r="A316" t="s">
        <v>369</v>
      </c>
      <c r="B316" s="2">
        <v>46087</v>
      </c>
      <c r="C316" t="s">
        <v>37</v>
      </c>
      <c r="D316" t="s">
        <v>38</v>
      </c>
      <c r="E316" t="s">
        <v>39</v>
      </c>
      <c r="F316" t="s">
        <v>40</v>
      </c>
      <c r="G316">
        <v>7</v>
      </c>
      <c r="H316">
        <v>154089.25</v>
      </c>
      <c r="I316">
        <v>0.15</v>
      </c>
      <c r="J316">
        <v>1078624.75</v>
      </c>
      <c r="K316">
        <v>161793.71</v>
      </c>
      <c r="L316">
        <v>7.4999999999999997E-2</v>
      </c>
      <c r="M316">
        <v>68762.33</v>
      </c>
      <c r="N316">
        <v>985593.37</v>
      </c>
      <c r="O316" t="s">
        <v>20</v>
      </c>
    </row>
    <row r="317" spans="1:15" x14ac:dyDescent="0.35">
      <c r="A317" t="s">
        <v>370</v>
      </c>
      <c r="B317" s="2">
        <v>46249</v>
      </c>
      <c r="C317" t="s">
        <v>42</v>
      </c>
      <c r="D317" t="s">
        <v>43</v>
      </c>
      <c r="E317" t="s">
        <v>44</v>
      </c>
      <c r="F317" t="s">
        <v>45</v>
      </c>
      <c r="G317">
        <v>6</v>
      </c>
      <c r="H317">
        <v>86288.960000000006</v>
      </c>
      <c r="I317">
        <v>0</v>
      </c>
      <c r="J317">
        <v>517733.76</v>
      </c>
      <c r="K317">
        <v>0</v>
      </c>
      <c r="L317">
        <v>7.4999999999999997E-2</v>
      </c>
      <c r="M317">
        <v>38830.03</v>
      </c>
      <c r="N317">
        <v>556563.79</v>
      </c>
      <c r="O317" t="s">
        <v>35</v>
      </c>
    </row>
    <row r="318" spans="1:15" x14ac:dyDescent="0.35">
      <c r="A318" t="s">
        <v>371</v>
      </c>
      <c r="B318" s="2">
        <v>46118</v>
      </c>
      <c r="C318" t="s">
        <v>47</v>
      </c>
      <c r="D318" t="s">
        <v>48</v>
      </c>
      <c r="E318" t="s">
        <v>49</v>
      </c>
      <c r="F318" t="s">
        <v>50</v>
      </c>
      <c r="G318">
        <v>2</v>
      </c>
      <c r="H318">
        <v>128355.87</v>
      </c>
      <c r="I318">
        <v>0.15</v>
      </c>
      <c r="J318">
        <v>256711.74</v>
      </c>
      <c r="K318">
        <v>38506.76</v>
      </c>
      <c r="L318">
        <v>0.1</v>
      </c>
      <c r="M318">
        <v>21820.5</v>
      </c>
      <c r="N318">
        <v>240025.48</v>
      </c>
      <c r="O318" t="s">
        <v>20</v>
      </c>
    </row>
    <row r="319" spans="1:15" x14ac:dyDescent="0.35">
      <c r="A319" t="s">
        <v>372</v>
      </c>
      <c r="B319" s="2">
        <v>46229</v>
      </c>
      <c r="C319" t="s">
        <v>52</v>
      </c>
      <c r="D319" t="s">
        <v>53</v>
      </c>
      <c r="E319" t="s">
        <v>54</v>
      </c>
      <c r="F319" t="s">
        <v>50</v>
      </c>
      <c r="G319">
        <v>6</v>
      </c>
      <c r="H319">
        <v>101796.13</v>
      </c>
      <c r="I319">
        <v>0.1</v>
      </c>
      <c r="J319">
        <v>610776.78</v>
      </c>
      <c r="K319">
        <v>61077.68</v>
      </c>
      <c r="L319">
        <v>7.4999999999999997E-2</v>
      </c>
      <c r="M319">
        <v>41227.43</v>
      </c>
      <c r="N319">
        <v>590926.53</v>
      </c>
      <c r="O319" t="s">
        <v>25</v>
      </c>
    </row>
    <row r="320" spans="1:15" x14ac:dyDescent="0.35">
      <c r="A320" t="s">
        <v>373</v>
      </c>
      <c r="B320" s="2">
        <v>46153</v>
      </c>
      <c r="C320" t="s">
        <v>56</v>
      </c>
      <c r="D320" t="s">
        <v>57</v>
      </c>
      <c r="E320" t="s">
        <v>58</v>
      </c>
      <c r="F320" t="s">
        <v>19</v>
      </c>
      <c r="G320">
        <v>4</v>
      </c>
      <c r="H320">
        <v>25389.9</v>
      </c>
      <c r="I320">
        <v>0.05</v>
      </c>
      <c r="J320">
        <v>101559.6</v>
      </c>
      <c r="K320">
        <v>5077.9799999999996</v>
      </c>
      <c r="L320">
        <v>0.1</v>
      </c>
      <c r="M320">
        <v>9648.16</v>
      </c>
      <c r="N320">
        <v>106129.78</v>
      </c>
      <c r="O320" t="s">
        <v>20</v>
      </c>
    </row>
    <row r="321" spans="1:15" x14ac:dyDescent="0.35">
      <c r="A321" t="s">
        <v>374</v>
      </c>
      <c r="B321" s="2">
        <v>46236</v>
      </c>
      <c r="C321" t="s">
        <v>60</v>
      </c>
      <c r="D321" t="s">
        <v>61</v>
      </c>
      <c r="E321" t="s">
        <v>62</v>
      </c>
      <c r="F321" t="s">
        <v>19</v>
      </c>
      <c r="G321">
        <v>1</v>
      </c>
      <c r="H321">
        <v>208172.78</v>
      </c>
      <c r="I321">
        <v>0.05</v>
      </c>
      <c r="J321">
        <v>208172.78</v>
      </c>
      <c r="K321">
        <v>10408.64</v>
      </c>
      <c r="L321">
        <v>7.4999999999999997E-2</v>
      </c>
      <c r="M321">
        <v>14832.31</v>
      </c>
      <c r="N321">
        <v>212596.45</v>
      </c>
      <c r="O321" t="s">
        <v>35</v>
      </c>
    </row>
    <row r="322" spans="1:15" x14ac:dyDescent="0.35">
      <c r="A322" t="s">
        <v>375</v>
      </c>
      <c r="B322" s="2">
        <v>46148</v>
      </c>
      <c r="C322" t="s">
        <v>16</v>
      </c>
      <c r="D322" t="s">
        <v>17</v>
      </c>
      <c r="E322" t="s">
        <v>18</v>
      </c>
      <c r="F322" t="s">
        <v>19</v>
      </c>
      <c r="G322">
        <v>7</v>
      </c>
      <c r="H322">
        <v>665630.6</v>
      </c>
      <c r="I322">
        <v>0</v>
      </c>
      <c r="J322">
        <v>4659414.2</v>
      </c>
      <c r="K322">
        <v>0</v>
      </c>
      <c r="L322">
        <v>7.4999999999999997E-2</v>
      </c>
      <c r="M322">
        <v>349456.06</v>
      </c>
      <c r="N322">
        <v>5008870.26</v>
      </c>
      <c r="O322" t="s">
        <v>35</v>
      </c>
    </row>
    <row r="323" spans="1:15" x14ac:dyDescent="0.35">
      <c r="A323" t="s">
        <v>376</v>
      </c>
      <c r="B323" s="2">
        <v>46145</v>
      </c>
      <c r="C323" t="s">
        <v>22</v>
      </c>
      <c r="D323" t="s">
        <v>23</v>
      </c>
      <c r="E323" t="s">
        <v>24</v>
      </c>
      <c r="F323" t="s">
        <v>19</v>
      </c>
      <c r="G323">
        <v>6</v>
      </c>
      <c r="H323">
        <v>17530.259999999998</v>
      </c>
      <c r="I323">
        <v>0.15</v>
      </c>
      <c r="J323">
        <v>105181.56</v>
      </c>
      <c r="K323">
        <v>15777.23</v>
      </c>
      <c r="L323">
        <v>7.4999999999999997E-2</v>
      </c>
      <c r="M323">
        <v>6705.32</v>
      </c>
      <c r="N323">
        <v>96109.65</v>
      </c>
      <c r="O323" t="s">
        <v>35</v>
      </c>
    </row>
    <row r="324" spans="1:15" x14ac:dyDescent="0.35">
      <c r="A324" t="s">
        <v>377</v>
      </c>
      <c r="B324" s="2">
        <v>46237</v>
      </c>
      <c r="C324" t="s">
        <v>27</v>
      </c>
      <c r="D324" t="s">
        <v>28</v>
      </c>
      <c r="E324" t="s">
        <v>29</v>
      </c>
      <c r="F324" t="s">
        <v>30</v>
      </c>
      <c r="G324">
        <v>3</v>
      </c>
      <c r="H324">
        <v>89857.42</v>
      </c>
      <c r="I324">
        <v>0.05</v>
      </c>
      <c r="J324">
        <v>269572.26</v>
      </c>
      <c r="K324">
        <v>13478.61</v>
      </c>
      <c r="L324">
        <v>0.1</v>
      </c>
      <c r="M324">
        <v>25609.37</v>
      </c>
      <c r="N324">
        <v>281703.02</v>
      </c>
      <c r="O324" t="s">
        <v>35</v>
      </c>
    </row>
    <row r="325" spans="1:15" x14ac:dyDescent="0.35">
      <c r="A325" t="s">
        <v>378</v>
      </c>
      <c r="B325" s="2">
        <v>46061</v>
      </c>
      <c r="C325" t="s">
        <v>32</v>
      </c>
      <c r="D325" t="s">
        <v>33</v>
      </c>
      <c r="E325" t="s">
        <v>34</v>
      </c>
      <c r="F325" t="s">
        <v>30</v>
      </c>
      <c r="G325">
        <v>1</v>
      </c>
      <c r="H325">
        <v>11987.09</v>
      </c>
      <c r="I325">
        <v>0.15</v>
      </c>
      <c r="J325">
        <v>11987.09</v>
      </c>
      <c r="K325">
        <v>1798.06</v>
      </c>
      <c r="L325">
        <v>0.1</v>
      </c>
      <c r="M325">
        <v>1018.9</v>
      </c>
      <c r="N325">
        <v>11207.93</v>
      </c>
      <c r="O325" t="s">
        <v>35</v>
      </c>
    </row>
    <row r="326" spans="1:15" x14ac:dyDescent="0.35">
      <c r="A326" t="s">
        <v>379</v>
      </c>
      <c r="B326" s="2">
        <v>46102</v>
      </c>
      <c r="C326" t="s">
        <v>37</v>
      </c>
      <c r="D326" t="s">
        <v>38</v>
      </c>
      <c r="E326" t="s">
        <v>39</v>
      </c>
      <c r="F326" t="s">
        <v>40</v>
      </c>
      <c r="G326">
        <v>6</v>
      </c>
      <c r="H326">
        <v>138735.66</v>
      </c>
      <c r="I326">
        <v>0</v>
      </c>
      <c r="J326">
        <v>832413.96</v>
      </c>
      <c r="K326">
        <v>0</v>
      </c>
      <c r="L326">
        <v>7.4999999999999997E-2</v>
      </c>
      <c r="M326">
        <v>62431.05</v>
      </c>
      <c r="N326">
        <v>894845.01</v>
      </c>
      <c r="O326" t="s">
        <v>35</v>
      </c>
    </row>
    <row r="327" spans="1:15" x14ac:dyDescent="0.35">
      <c r="A327" t="s">
        <v>380</v>
      </c>
      <c r="B327" s="2">
        <v>46174</v>
      </c>
      <c r="C327" t="s">
        <v>42</v>
      </c>
      <c r="D327" t="s">
        <v>43</v>
      </c>
      <c r="E327" t="s">
        <v>44</v>
      </c>
      <c r="F327" t="s">
        <v>45</v>
      </c>
      <c r="G327">
        <v>5</v>
      </c>
      <c r="H327">
        <v>88089.5</v>
      </c>
      <c r="I327">
        <v>0</v>
      </c>
      <c r="J327">
        <v>440447.5</v>
      </c>
      <c r="K327">
        <v>0</v>
      </c>
      <c r="L327">
        <v>0.1</v>
      </c>
      <c r="M327">
        <v>44044.75</v>
      </c>
      <c r="N327">
        <v>484492.25</v>
      </c>
      <c r="O327" t="s">
        <v>20</v>
      </c>
    </row>
    <row r="328" spans="1:15" x14ac:dyDescent="0.35">
      <c r="A328" t="s">
        <v>381</v>
      </c>
      <c r="B328" s="2">
        <v>46178</v>
      </c>
      <c r="C328" t="s">
        <v>47</v>
      </c>
      <c r="D328" t="s">
        <v>48</v>
      </c>
      <c r="E328" t="s">
        <v>49</v>
      </c>
      <c r="F328" t="s">
        <v>50</v>
      </c>
      <c r="G328">
        <v>4</v>
      </c>
      <c r="H328">
        <v>117523.94</v>
      </c>
      <c r="I328">
        <v>0.15</v>
      </c>
      <c r="J328">
        <v>470095.76</v>
      </c>
      <c r="K328">
        <v>70514.36</v>
      </c>
      <c r="L328">
        <v>0.1</v>
      </c>
      <c r="M328">
        <v>39958.14</v>
      </c>
      <c r="N328">
        <v>439539.54</v>
      </c>
      <c r="O328" t="s">
        <v>35</v>
      </c>
    </row>
    <row r="329" spans="1:15" x14ac:dyDescent="0.35">
      <c r="A329" t="s">
        <v>382</v>
      </c>
      <c r="B329" s="2">
        <v>46143</v>
      </c>
      <c r="C329" t="s">
        <v>52</v>
      </c>
      <c r="D329" t="s">
        <v>53</v>
      </c>
      <c r="E329" t="s">
        <v>54</v>
      </c>
      <c r="F329" t="s">
        <v>50</v>
      </c>
      <c r="G329">
        <v>3</v>
      </c>
      <c r="H329">
        <v>101258.81</v>
      </c>
      <c r="I329">
        <v>0.15</v>
      </c>
      <c r="J329">
        <v>303776.43</v>
      </c>
      <c r="K329">
        <v>45566.46</v>
      </c>
      <c r="L329">
        <v>0.1</v>
      </c>
      <c r="M329">
        <v>25821</v>
      </c>
      <c r="N329">
        <v>284030.96999999997</v>
      </c>
      <c r="O329" t="s">
        <v>35</v>
      </c>
    </row>
    <row r="330" spans="1:15" x14ac:dyDescent="0.35">
      <c r="A330" t="s">
        <v>383</v>
      </c>
      <c r="B330" s="2">
        <v>46032</v>
      </c>
      <c r="C330" t="s">
        <v>56</v>
      </c>
      <c r="D330" t="s">
        <v>57</v>
      </c>
      <c r="E330" t="s">
        <v>58</v>
      </c>
      <c r="F330" t="s">
        <v>19</v>
      </c>
      <c r="G330">
        <v>4</v>
      </c>
      <c r="H330">
        <v>26493.69</v>
      </c>
      <c r="I330">
        <v>0.05</v>
      </c>
      <c r="J330">
        <v>105974.76</v>
      </c>
      <c r="K330">
        <v>5298.74</v>
      </c>
      <c r="L330">
        <v>0.1</v>
      </c>
      <c r="M330">
        <v>10067.6</v>
      </c>
      <c r="N330">
        <v>110743.62</v>
      </c>
      <c r="O330" t="s">
        <v>20</v>
      </c>
    </row>
    <row r="331" spans="1:15" x14ac:dyDescent="0.35">
      <c r="A331" t="s">
        <v>384</v>
      </c>
      <c r="B331" s="2">
        <v>46038</v>
      </c>
      <c r="C331" t="s">
        <v>60</v>
      </c>
      <c r="D331" t="s">
        <v>61</v>
      </c>
      <c r="E331" t="s">
        <v>62</v>
      </c>
      <c r="F331" t="s">
        <v>19</v>
      </c>
      <c r="G331">
        <v>3</v>
      </c>
      <c r="H331">
        <v>223250.73</v>
      </c>
      <c r="I331">
        <v>0.05</v>
      </c>
      <c r="J331">
        <v>669752.18999999994</v>
      </c>
      <c r="K331">
        <v>33487.61</v>
      </c>
      <c r="L331">
        <v>7.4999999999999997E-2</v>
      </c>
      <c r="M331">
        <v>47719.839999999997</v>
      </c>
      <c r="N331">
        <v>683984.42</v>
      </c>
      <c r="O331" t="s">
        <v>35</v>
      </c>
    </row>
    <row r="332" spans="1:15" x14ac:dyDescent="0.35">
      <c r="A332" t="s">
        <v>385</v>
      </c>
      <c r="B332" s="2">
        <v>46125</v>
      </c>
      <c r="C332" t="s">
        <v>16</v>
      </c>
      <c r="D332" t="s">
        <v>17</v>
      </c>
      <c r="E332" t="s">
        <v>18</v>
      </c>
      <c r="F332" t="s">
        <v>19</v>
      </c>
      <c r="G332">
        <v>2</v>
      </c>
      <c r="H332">
        <v>663682.26</v>
      </c>
      <c r="I332">
        <v>0.1</v>
      </c>
      <c r="J332">
        <v>1327364.52</v>
      </c>
      <c r="K332">
        <v>132736.45000000001</v>
      </c>
      <c r="L332">
        <v>7.4999999999999997E-2</v>
      </c>
      <c r="M332">
        <v>89597.11</v>
      </c>
      <c r="N332">
        <v>1284225.18</v>
      </c>
      <c r="O332" t="s">
        <v>20</v>
      </c>
    </row>
    <row r="333" spans="1:15" x14ac:dyDescent="0.35">
      <c r="A333" t="s">
        <v>386</v>
      </c>
      <c r="B333" s="2">
        <v>46198</v>
      </c>
      <c r="C333" t="s">
        <v>22</v>
      </c>
      <c r="D333" t="s">
        <v>23</v>
      </c>
      <c r="E333" t="s">
        <v>24</v>
      </c>
      <c r="F333" t="s">
        <v>19</v>
      </c>
      <c r="G333">
        <v>4</v>
      </c>
      <c r="H333">
        <v>19178.009999999998</v>
      </c>
      <c r="I333">
        <v>0.1</v>
      </c>
      <c r="J333">
        <v>76712.039999999994</v>
      </c>
      <c r="K333">
        <v>7671.2</v>
      </c>
      <c r="L333">
        <v>0.1</v>
      </c>
      <c r="M333">
        <v>6904.08</v>
      </c>
      <c r="N333">
        <v>75944.92</v>
      </c>
      <c r="O333" t="s">
        <v>35</v>
      </c>
    </row>
    <row r="334" spans="1:15" x14ac:dyDescent="0.35">
      <c r="A334" t="s">
        <v>387</v>
      </c>
      <c r="B334" s="2">
        <v>46263</v>
      </c>
      <c r="C334" t="s">
        <v>27</v>
      </c>
      <c r="D334" t="s">
        <v>28</v>
      </c>
      <c r="E334" t="s">
        <v>29</v>
      </c>
      <c r="F334" t="s">
        <v>30</v>
      </c>
      <c r="G334">
        <v>2</v>
      </c>
      <c r="H334">
        <v>90150.85</v>
      </c>
      <c r="I334">
        <v>0</v>
      </c>
      <c r="J334">
        <v>180301.7</v>
      </c>
      <c r="K334">
        <v>0</v>
      </c>
      <c r="L334">
        <v>0.1</v>
      </c>
      <c r="M334">
        <v>18030.169999999998</v>
      </c>
      <c r="N334">
        <v>198331.87</v>
      </c>
      <c r="O334" t="s">
        <v>35</v>
      </c>
    </row>
    <row r="335" spans="1:15" x14ac:dyDescent="0.35">
      <c r="A335" t="s">
        <v>388</v>
      </c>
      <c r="B335" s="2">
        <v>46257</v>
      </c>
      <c r="C335" t="s">
        <v>32</v>
      </c>
      <c r="D335" t="s">
        <v>33</v>
      </c>
      <c r="E335" t="s">
        <v>34</v>
      </c>
      <c r="F335" t="s">
        <v>30</v>
      </c>
      <c r="G335">
        <v>6</v>
      </c>
      <c r="H335">
        <v>12711.84</v>
      </c>
      <c r="I335">
        <v>0.1</v>
      </c>
      <c r="J335">
        <v>76271.039999999994</v>
      </c>
      <c r="K335">
        <v>7627.1</v>
      </c>
      <c r="L335">
        <v>0.1</v>
      </c>
      <c r="M335">
        <v>6864.39</v>
      </c>
      <c r="N335">
        <v>75508.33</v>
      </c>
      <c r="O335" t="s">
        <v>35</v>
      </c>
    </row>
    <row r="336" spans="1:15" x14ac:dyDescent="0.35">
      <c r="A336" t="s">
        <v>389</v>
      </c>
      <c r="B336" s="2">
        <v>46115</v>
      </c>
      <c r="C336" t="s">
        <v>37</v>
      </c>
      <c r="D336" t="s">
        <v>38</v>
      </c>
      <c r="E336" t="s">
        <v>39</v>
      </c>
      <c r="F336" t="s">
        <v>40</v>
      </c>
      <c r="G336">
        <v>2</v>
      </c>
      <c r="H336">
        <v>140286.28</v>
      </c>
      <c r="I336">
        <v>0</v>
      </c>
      <c r="J336">
        <v>280572.56</v>
      </c>
      <c r="K336">
        <v>0</v>
      </c>
      <c r="L336">
        <v>7.4999999999999997E-2</v>
      </c>
      <c r="M336">
        <v>21042.94</v>
      </c>
      <c r="N336">
        <v>301615.5</v>
      </c>
      <c r="O336" t="s">
        <v>25</v>
      </c>
    </row>
    <row r="337" spans="1:15" x14ac:dyDescent="0.35">
      <c r="A337" t="s">
        <v>390</v>
      </c>
      <c r="B337" s="2">
        <v>46219</v>
      </c>
      <c r="C337" t="s">
        <v>42</v>
      </c>
      <c r="D337" t="s">
        <v>43</v>
      </c>
      <c r="E337" t="s">
        <v>44</v>
      </c>
      <c r="F337" t="s">
        <v>45</v>
      </c>
      <c r="G337">
        <v>2</v>
      </c>
      <c r="H337">
        <v>89868.61</v>
      </c>
      <c r="I337">
        <v>0</v>
      </c>
      <c r="J337">
        <v>179737.22</v>
      </c>
      <c r="K337">
        <v>0</v>
      </c>
      <c r="L337">
        <v>7.4999999999999997E-2</v>
      </c>
      <c r="M337">
        <v>13480.29</v>
      </c>
      <c r="N337">
        <v>193217.51</v>
      </c>
      <c r="O337" t="s">
        <v>20</v>
      </c>
    </row>
    <row r="338" spans="1:15" x14ac:dyDescent="0.35">
      <c r="A338" t="s">
        <v>391</v>
      </c>
      <c r="B338" s="2">
        <v>46165</v>
      </c>
      <c r="C338" t="s">
        <v>47</v>
      </c>
      <c r="D338" t="s">
        <v>48</v>
      </c>
      <c r="E338" t="s">
        <v>49</v>
      </c>
      <c r="F338" t="s">
        <v>50</v>
      </c>
      <c r="G338">
        <v>4</v>
      </c>
      <c r="H338">
        <v>129020.56</v>
      </c>
      <c r="I338">
        <v>0.1</v>
      </c>
      <c r="J338">
        <v>516082.24</v>
      </c>
      <c r="K338">
        <v>51608.22</v>
      </c>
      <c r="L338">
        <v>7.4999999999999997E-2</v>
      </c>
      <c r="M338">
        <v>34835.550000000003</v>
      </c>
      <c r="N338">
        <v>499309.57</v>
      </c>
      <c r="O338" t="s">
        <v>25</v>
      </c>
    </row>
    <row r="339" spans="1:15" x14ac:dyDescent="0.35">
      <c r="A339" t="s">
        <v>392</v>
      </c>
      <c r="B339" s="2">
        <v>46036</v>
      </c>
      <c r="C339" t="s">
        <v>52</v>
      </c>
      <c r="D339" t="s">
        <v>53</v>
      </c>
      <c r="E339" t="s">
        <v>54</v>
      </c>
      <c r="F339" t="s">
        <v>50</v>
      </c>
      <c r="G339">
        <v>6</v>
      </c>
      <c r="H339">
        <v>94716.13</v>
      </c>
      <c r="I339">
        <v>0.05</v>
      </c>
      <c r="J339">
        <v>568296.78</v>
      </c>
      <c r="K339">
        <v>28414.84</v>
      </c>
      <c r="L339">
        <v>7.4999999999999997E-2</v>
      </c>
      <c r="M339">
        <v>40491.15</v>
      </c>
      <c r="N339">
        <v>580373.09</v>
      </c>
      <c r="O339" t="s">
        <v>20</v>
      </c>
    </row>
    <row r="340" spans="1:15" x14ac:dyDescent="0.35">
      <c r="A340" t="s">
        <v>393</v>
      </c>
      <c r="B340" s="2">
        <v>46197</v>
      </c>
      <c r="C340" t="s">
        <v>56</v>
      </c>
      <c r="D340" t="s">
        <v>57</v>
      </c>
      <c r="E340" t="s">
        <v>58</v>
      </c>
      <c r="F340" t="s">
        <v>19</v>
      </c>
      <c r="G340">
        <v>1</v>
      </c>
      <c r="H340">
        <v>24723.55</v>
      </c>
      <c r="I340">
        <v>0.15</v>
      </c>
      <c r="J340">
        <v>24723.55</v>
      </c>
      <c r="K340">
        <v>3708.53</v>
      </c>
      <c r="L340">
        <v>0.1</v>
      </c>
      <c r="M340">
        <v>2101.5</v>
      </c>
      <c r="N340">
        <v>23116.52</v>
      </c>
      <c r="O340" t="s">
        <v>25</v>
      </c>
    </row>
    <row r="341" spans="1:15" x14ac:dyDescent="0.35">
      <c r="A341" t="s">
        <v>394</v>
      </c>
      <c r="B341" s="2">
        <v>46147</v>
      </c>
      <c r="C341" t="s">
        <v>60</v>
      </c>
      <c r="D341" t="s">
        <v>61</v>
      </c>
      <c r="E341" t="s">
        <v>62</v>
      </c>
      <c r="F341" t="s">
        <v>19</v>
      </c>
      <c r="G341">
        <v>1</v>
      </c>
      <c r="H341">
        <v>208279.88</v>
      </c>
      <c r="I341">
        <v>0.15</v>
      </c>
      <c r="J341">
        <v>208279.88</v>
      </c>
      <c r="K341">
        <v>31241.98</v>
      </c>
      <c r="L341">
        <v>0.1</v>
      </c>
      <c r="M341">
        <v>17703.79</v>
      </c>
      <c r="N341">
        <v>194741.69</v>
      </c>
      <c r="O341" t="s">
        <v>20</v>
      </c>
    </row>
    <row r="342" spans="1:15" x14ac:dyDescent="0.35">
      <c r="A342" t="s">
        <v>395</v>
      </c>
      <c r="B342" s="2">
        <v>46146</v>
      </c>
      <c r="C342" t="s">
        <v>16</v>
      </c>
      <c r="D342" t="s">
        <v>17</v>
      </c>
      <c r="E342" t="s">
        <v>18</v>
      </c>
      <c r="F342" t="s">
        <v>19</v>
      </c>
      <c r="G342">
        <v>7</v>
      </c>
      <c r="H342">
        <v>667035.67000000004</v>
      </c>
      <c r="I342">
        <v>0</v>
      </c>
      <c r="J342">
        <v>4669249.6900000004</v>
      </c>
      <c r="K342">
        <v>0</v>
      </c>
      <c r="L342">
        <v>7.4999999999999997E-2</v>
      </c>
      <c r="M342">
        <v>350193.73</v>
      </c>
      <c r="N342">
        <v>5019443.42</v>
      </c>
      <c r="O342" t="s">
        <v>20</v>
      </c>
    </row>
    <row r="343" spans="1:15" x14ac:dyDescent="0.35">
      <c r="A343" t="s">
        <v>396</v>
      </c>
      <c r="B343" s="2">
        <v>46215</v>
      </c>
      <c r="C343" t="s">
        <v>22</v>
      </c>
      <c r="D343" t="s">
        <v>23</v>
      </c>
      <c r="E343" t="s">
        <v>24</v>
      </c>
      <c r="F343" t="s">
        <v>19</v>
      </c>
      <c r="G343">
        <v>4</v>
      </c>
      <c r="H343">
        <v>19048.939999999999</v>
      </c>
      <c r="I343">
        <v>0.05</v>
      </c>
      <c r="J343">
        <v>76195.759999999995</v>
      </c>
      <c r="K343">
        <v>3809.79</v>
      </c>
      <c r="L343">
        <v>0.1</v>
      </c>
      <c r="M343">
        <v>7238.6</v>
      </c>
      <c r="N343">
        <v>79624.570000000007</v>
      </c>
      <c r="O343" t="s">
        <v>35</v>
      </c>
    </row>
    <row r="344" spans="1:15" x14ac:dyDescent="0.35">
      <c r="A344" t="s">
        <v>397</v>
      </c>
      <c r="B344" s="2">
        <v>46046</v>
      </c>
      <c r="C344" t="s">
        <v>27</v>
      </c>
      <c r="D344" t="s">
        <v>28</v>
      </c>
      <c r="E344" t="s">
        <v>29</v>
      </c>
      <c r="F344" t="s">
        <v>30</v>
      </c>
      <c r="G344">
        <v>6</v>
      </c>
      <c r="H344">
        <v>88267.72</v>
      </c>
      <c r="I344">
        <v>0.1</v>
      </c>
      <c r="J344">
        <v>529606.31999999995</v>
      </c>
      <c r="K344">
        <v>52960.63</v>
      </c>
      <c r="L344">
        <v>7.4999999999999997E-2</v>
      </c>
      <c r="M344">
        <v>35748.43</v>
      </c>
      <c r="N344">
        <v>512394.12</v>
      </c>
      <c r="O344" t="s">
        <v>35</v>
      </c>
    </row>
    <row r="345" spans="1:15" x14ac:dyDescent="0.35">
      <c r="A345" t="s">
        <v>398</v>
      </c>
      <c r="B345" s="2">
        <v>46085</v>
      </c>
      <c r="C345" t="s">
        <v>32</v>
      </c>
      <c r="D345" t="s">
        <v>33</v>
      </c>
      <c r="E345" t="s">
        <v>34</v>
      </c>
      <c r="F345" t="s">
        <v>30</v>
      </c>
      <c r="G345">
        <v>1</v>
      </c>
      <c r="H345">
        <v>11274.45</v>
      </c>
      <c r="I345">
        <v>0.05</v>
      </c>
      <c r="J345">
        <v>11274.45</v>
      </c>
      <c r="K345">
        <v>563.72</v>
      </c>
      <c r="L345">
        <v>7.4999999999999997E-2</v>
      </c>
      <c r="M345">
        <v>803.3</v>
      </c>
      <c r="N345">
        <v>11514.03</v>
      </c>
      <c r="O345" t="s">
        <v>35</v>
      </c>
    </row>
    <row r="346" spans="1:15" x14ac:dyDescent="0.35">
      <c r="A346" t="s">
        <v>399</v>
      </c>
      <c r="B346" s="2">
        <v>46046</v>
      </c>
      <c r="C346" t="s">
        <v>37</v>
      </c>
      <c r="D346" t="s">
        <v>38</v>
      </c>
      <c r="E346" t="s">
        <v>39</v>
      </c>
      <c r="F346" t="s">
        <v>40</v>
      </c>
      <c r="G346">
        <v>1</v>
      </c>
      <c r="H346">
        <v>152032.1</v>
      </c>
      <c r="I346">
        <v>0.35</v>
      </c>
      <c r="J346">
        <v>152032.1</v>
      </c>
      <c r="K346">
        <v>22804.82</v>
      </c>
      <c r="L346">
        <v>0.1</v>
      </c>
      <c r="M346">
        <v>12922.73</v>
      </c>
      <c r="N346">
        <v>142150.01</v>
      </c>
      <c r="O346" t="s">
        <v>25</v>
      </c>
    </row>
    <row r="347" spans="1:15" x14ac:dyDescent="0.35">
      <c r="A347" t="s">
        <v>400</v>
      </c>
      <c r="B347" s="2">
        <v>46076</v>
      </c>
      <c r="C347" t="s">
        <v>42</v>
      </c>
      <c r="D347" t="s">
        <v>43</v>
      </c>
      <c r="E347" t="s">
        <v>44</v>
      </c>
      <c r="F347" t="s">
        <v>45</v>
      </c>
      <c r="G347">
        <v>3</v>
      </c>
      <c r="H347">
        <v>78267.179999999993</v>
      </c>
      <c r="I347">
        <v>0.05</v>
      </c>
      <c r="J347">
        <v>234801.54</v>
      </c>
      <c r="K347">
        <v>11740.08</v>
      </c>
      <c r="L347">
        <v>7.4999999999999997E-2</v>
      </c>
      <c r="M347">
        <v>16729.61</v>
      </c>
      <c r="N347">
        <v>239791.07</v>
      </c>
      <c r="O347" t="s">
        <v>25</v>
      </c>
    </row>
    <row r="348" spans="1:15" x14ac:dyDescent="0.35">
      <c r="A348" t="s">
        <v>401</v>
      </c>
      <c r="B348" s="2">
        <v>46204</v>
      </c>
      <c r="C348" t="s">
        <v>47</v>
      </c>
      <c r="D348" t="s">
        <v>48</v>
      </c>
      <c r="E348" t="s">
        <v>49</v>
      </c>
      <c r="F348" t="s">
        <v>50</v>
      </c>
      <c r="G348">
        <v>7</v>
      </c>
      <c r="H348">
        <v>119131.01</v>
      </c>
      <c r="I348">
        <v>0.1</v>
      </c>
      <c r="J348">
        <v>833917.07</v>
      </c>
      <c r="K348">
        <v>83391.710000000006</v>
      </c>
      <c r="L348">
        <v>7.4999999999999997E-2</v>
      </c>
      <c r="M348">
        <v>56289.4</v>
      </c>
      <c r="N348">
        <v>806814.76</v>
      </c>
      <c r="O348" t="s">
        <v>35</v>
      </c>
    </row>
    <row r="349" spans="1:15" x14ac:dyDescent="0.35">
      <c r="A349" t="s">
        <v>402</v>
      </c>
      <c r="B349" s="2">
        <v>46071</v>
      </c>
      <c r="C349" t="s">
        <v>52</v>
      </c>
      <c r="D349" t="s">
        <v>53</v>
      </c>
      <c r="E349" t="s">
        <v>54</v>
      </c>
      <c r="F349" t="s">
        <v>50</v>
      </c>
      <c r="G349">
        <v>6</v>
      </c>
      <c r="H349">
        <v>94234.42</v>
      </c>
      <c r="I349">
        <v>0.15</v>
      </c>
      <c r="J349">
        <v>565406.52</v>
      </c>
      <c r="K349">
        <v>84810.98</v>
      </c>
      <c r="L349">
        <v>0.1</v>
      </c>
      <c r="M349">
        <v>48059.55</v>
      </c>
      <c r="N349">
        <v>528655.09</v>
      </c>
      <c r="O349" t="s">
        <v>35</v>
      </c>
    </row>
    <row r="350" spans="1:15" x14ac:dyDescent="0.35">
      <c r="A350" t="s">
        <v>403</v>
      </c>
      <c r="B350" s="2">
        <v>46111</v>
      </c>
      <c r="C350" t="s">
        <v>56</v>
      </c>
      <c r="D350" t="s">
        <v>57</v>
      </c>
      <c r="E350" t="s">
        <v>58</v>
      </c>
      <c r="F350" t="s">
        <v>19</v>
      </c>
      <c r="G350">
        <v>2</v>
      </c>
      <c r="H350">
        <v>23807.41</v>
      </c>
      <c r="I350">
        <v>0.1</v>
      </c>
      <c r="J350">
        <v>47614.82</v>
      </c>
      <c r="K350">
        <v>4761.4799999999996</v>
      </c>
      <c r="L350">
        <v>0.1</v>
      </c>
      <c r="M350">
        <v>4285.33</v>
      </c>
      <c r="N350">
        <v>47138.67</v>
      </c>
      <c r="O350" t="s">
        <v>35</v>
      </c>
    </row>
    <row r="351" spans="1:15" x14ac:dyDescent="0.35">
      <c r="A351" t="s">
        <v>404</v>
      </c>
      <c r="B351" s="2">
        <v>46112</v>
      </c>
      <c r="C351" t="s">
        <v>60</v>
      </c>
      <c r="D351" t="s">
        <v>61</v>
      </c>
      <c r="E351" t="s">
        <v>62</v>
      </c>
      <c r="F351" t="s">
        <v>19</v>
      </c>
      <c r="G351">
        <v>5</v>
      </c>
      <c r="H351">
        <v>218020.01</v>
      </c>
      <c r="I351">
        <v>0</v>
      </c>
      <c r="J351">
        <v>1090100.05</v>
      </c>
      <c r="K351">
        <v>0</v>
      </c>
      <c r="L351">
        <v>7.4999999999999997E-2</v>
      </c>
      <c r="M351">
        <v>81757.5</v>
      </c>
      <c r="N351">
        <v>1171857.55</v>
      </c>
      <c r="O351" t="s">
        <v>35</v>
      </c>
    </row>
    <row r="352" spans="1:15" x14ac:dyDescent="0.35">
      <c r="A352" t="s">
        <v>405</v>
      </c>
      <c r="B352" s="2">
        <v>46228</v>
      </c>
      <c r="C352" t="s">
        <v>16</v>
      </c>
      <c r="D352" t="s">
        <v>17</v>
      </c>
      <c r="E352" t="s">
        <v>18</v>
      </c>
      <c r="F352" t="s">
        <v>19</v>
      </c>
      <c r="G352">
        <v>1</v>
      </c>
      <c r="H352">
        <v>685163.99</v>
      </c>
      <c r="I352">
        <v>0.05</v>
      </c>
      <c r="J352">
        <v>685163.99</v>
      </c>
      <c r="K352">
        <v>34258.199999999997</v>
      </c>
      <c r="L352">
        <v>7.4999999999999997E-2</v>
      </c>
      <c r="M352">
        <v>48817.93</v>
      </c>
      <c r="N352">
        <v>699723.72</v>
      </c>
      <c r="O352" t="s">
        <v>35</v>
      </c>
    </row>
    <row r="353" spans="1:15" x14ac:dyDescent="0.35">
      <c r="A353" t="s">
        <v>406</v>
      </c>
      <c r="B353" s="2">
        <v>46258</v>
      </c>
      <c r="C353" t="s">
        <v>22</v>
      </c>
      <c r="D353" t="s">
        <v>23</v>
      </c>
      <c r="E353" t="s">
        <v>24</v>
      </c>
      <c r="F353" t="s">
        <v>19</v>
      </c>
      <c r="G353">
        <v>2</v>
      </c>
      <c r="H353">
        <v>18339.400000000001</v>
      </c>
      <c r="I353">
        <v>0.15</v>
      </c>
      <c r="J353">
        <v>36678.800000000003</v>
      </c>
      <c r="K353">
        <v>5501.82</v>
      </c>
      <c r="L353">
        <v>7.4999999999999997E-2</v>
      </c>
      <c r="M353">
        <v>2338.27</v>
      </c>
      <c r="N353">
        <v>33515.25</v>
      </c>
      <c r="O353" t="s">
        <v>20</v>
      </c>
    </row>
    <row r="354" spans="1:15" x14ac:dyDescent="0.35">
      <c r="A354" t="s">
        <v>407</v>
      </c>
      <c r="B354" s="2">
        <v>46059</v>
      </c>
      <c r="C354" t="s">
        <v>27</v>
      </c>
      <c r="D354" t="s">
        <v>28</v>
      </c>
      <c r="E354" t="s">
        <v>29</v>
      </c>
      <c r="F354" t="s">
        <v>30</v>
      </c>
      <c r="G354">
        <v>3</v>
      </c>
      <c r="H354">
        <v>101550.42</v>
      </c>
      <c r="I354">
        <v>0.05</v>
      </c>
      <c r="J354">
        <v>304651.26</v>
      </c>
      <c r="K354">
        <v>15232.56</v>
      </c>
      <c r="L354">
        <v>0.1</v>
      </c>
      <c r="M354">
        <v>28941.87</v>
      </c>
      <c r="N354">
        <v>318360.57</v>
      </c>
      <c r="O354" t="s">
        <v>20</v>
      </c>
    </row>
    <row r="355" spans="1:15" x14ac:dyDescent="0.35">
      <c r="A355" t="s">
        <v>408</v>
      </c>
      <c r="B355" s="2">
        <v>46095</v>
      </c>
      <c r="C355" t="s">
        <v>32</v>
      </c>
      <c r="D355" t="s">
        <v>33</v>
      </c>
      <c r="E355" t="s">
        <v>34</v>
      </c>
      <c r="F355" t="s">
        <v>30</v>
      </c>
      <c r="G355">
        <v>7</v>
      </c>
      <c r="H355">
        <v>12305.06</v>
      </c>
      <c r="I355">
        <v>0</v>
      </c>
      <c r="J355">
        <v>86135.42</v>
      </c>
      <c r="K355">
        <v>0</v>
      </c>
      <c r="L355">
        <v>0.1</v>
      </c>
      <c r="M355">
        <v>8613.5400000000009</v>
      </c>
      <c r="N355">
        <v>94748.96</v>
      </c>
      <c r="O355" t="s">
        <v>20</v>
      </c>
    </row>
    <row r="356" spans="1:15" x14ac:dyDescent="0.35">
      <c r="A356" t="s">
        <v>409</v>
      </c>
      <c r="B356" s="2">
        <v>46224</v>
      </c>
      <c r="C356" t="s">
        <v>37</v>
      </c>
      <c r="D356" t="s">
        <v>38</v>
      </c>
      <c r="E356" t="s">
        <v>39</v>
      </c>
      <c r="F356" t="s">
        <v>40</v>
      </c>
      <c r="G356">
        <v>6</v>
      </c>
      <c r="H356">
        <v>153788.29</v>
      </c>
      <c r="I356">
        <v>0.05</v>
      </c>
      <c r="J356">
        <v>922729.74</v>
      </c>
      <c r="K356">
        <v>46136.49</v>
      </c>
      <c r="L356">
        <v>0.1</v>
      </c>
      <c r="M356">
        <v>87659.33</v>
      </c>
      <c r="N356">
        <v>964252.58</v>
      </c>
      <c r="O356" t="s">
        <v>35</v>
      </c>
    </row>
    <row r="357" spans="1:15" x14ac:dyDescent="0.35">
      <c r="A357" t="s">
        <v>410</v>
      </c>
      <c r="B357" s="2">
        <v>46099</v>
      </c>
      <c r="C357" t="s">
        <v>42</v>
      </c>
      <c r="D357" t="s">
        <v>43</v>
      </c>
      <c r="E357" t="s">
        <v>44</v>
      </c>
      <c r="F357" t="s">
        <v>45</v>
      </c>
      <c r="G357">
        <v>1</v>
      </c>
      <c r="H357">
        <v>83733.95</v>
      </c>
      <c r="I357">
        <v>0.15</v>
      </c>
      <c r="J357">
        <v>83733.95</v>
      </c>
      <c r="K357">
        <v>12560.09</v>
      </c>
      <c r="L357">
        <v>7.4999999999999997E-2</v>
      </c>
      <c r="M357">
        <v>5338.04</v>
      </c>
      <c r="N357">
        <v>76511.899999999994</v>
      </c>
      <c r="O357" t="s">
        <v>35</v>
      </c>
    </row>
    <row r="358" spans="1:15" x14ac:dyDescent="0.35">
      <c r="A358" t="s">
        <v>411</v>
      </c>
      <c r="B358" s="2">
        <v>46151</v>
      </c>
      <c r="C358" t="s">
        <v>47</v>
      </c>
      <c r="D358" t="s">
        <v>48</v>
      </c>
      <c r="E358" t="s">
        <v>49</v>
      </c>
      <c r="F358" t="s">
        <v>50</v>
      </c>
      <c r="G358">
        <v>7</v>
      </c>
      <c r="H358">
        <v>124578.22</v>
      </c>
      <c r="I358">
        <v>0.15</v>
      </c>
      <c r="J358">
        <v>872047.54</v>
      </c>
      <c r="K358">
        <v>130807.13</v>
      </c>
      <c r="L358">
        <v>0.1</v>
      </c>
      <c r="M358">
        <v>74124.039999999994</v>
      </c>
      <c r="N358">
        <v>815364.45</v>
      </c>
      <c r="O358" t="s">
        <v>20</v>
      </c>
    </row>
    <row r="359" spans="1:15" x14ac:dyDescent="0.35">
      <c r="A359" t="s">
        <v>412</v>
      </c>
      <c r="B359" s="2">
        <v>46108</v>
      </c>
      <c r="C359" t="s">
        <v>52</v>
      </c>
      <c r="D359" t="s">
        <v>53</v>
      </c>
      <c r="E359" t="s">
        <v>54</v>
      </c>
      <c r="F359" t="s">
        <v>50</v>
      </c>
      <c r="G359">
        <v>4</v>
      </c>
      <c r="H359">
        <v>102681.49</v>
      </c>
      <c r="I359">
        <v>0.05</v>
      </c>
      <c r="J359">
        <v>410725.96</v>
      </c>
      <c r="K359">
        <v>20536.3</v>
      </c>
      <c r="L359">
        <v>0.1</v>
      </c>
      <c r="M359">
        <v>39018.97</v>
      </c>
      <c r="N359">
        <v>429208.63</v>
      </c>
      <c r="O359" t="s">
        <v>25</v>
      </c>
    </row>
    <row r="360" spans="1:15" x14ac:dyDescent="0.35">
      <c r="A360" t="s">
        <v>413</v>
      </c>
      <c r="B360" s="2">
        <v>46114</v>
      </c>
      <c r="C360" t="s">
        <v>56</v>
      </c>
      <c r="D360" t="s">
        <v>57</v>
      </c>
      <c r="E360" t="s">
        <v>58</v>
      </c>
      <c r="F360" t="s">
        <v>19</v>
      </c>
      <c r="G360">
        <v>7</v>
      </c>
      <c r="H360">
        <v>24742.33</v>
      </c>
      <c r="I360">
        <v>0.1</v>
      </c>
      <c r="J360">
        <v>173196.31</v>
      </c>
      <c r="K360">
        <v>17319.63</v>
      </c>
      <c r="L360">
        <v>7.4999999999999997E-2</v>
      </c>
      <c r="M360">
        <v>11690.75</v>
      </c>
      <c r="N360">
        <v>167567.43</v>
      </c>
      <c r="O360" t="s">
        <v>35</v>
      </c>
    </row>
    <row r="361" spans="1:15" x14ac:dyDescent="0.35">
      <c r="A361" t="s">
        <v>414</v>
      </c>
      <c r="B361" s="2">
        <v>46102</v>
      </c>
      <c r="C361" t="s">
        <v>60</v>
      </c>
      <c r="D361" t="s">
        <v>61</v>
      </c>
      <c r="E361" t="s">
        <v>62</v>
      </c>
      <c r="F361" t="s">
        <v>19</v>
      </c>
      <c r="G361">
        <v>7</v>
      </c>
      <c r="H361">
        <v>202602.7</v>
      </c>
      <c r="I361">
        <v>0.1</v>
      </c>
      <c r="J361">
        <v>1418218.9</v>
      </c>
      <c r="K361">
        <v>141821.89000000001</v>
      </c>
      <c r="L361">
        <v>7.4999999999999997E-2</v>
      </c>
      <c r="M361">
        <v>95729.78</v>
      </c>
      <c r="N361">
        <v>1372126.79</v>
      </c>
      <c r="O361" t="s">
        <v>20</v>
      </c>
    </row>
    <row r="362" spans="1:15" x14ac:dyDescent="0.35">
      <c r="A362" t="s">
        <v>415</v>
      </c>
      <c r="B362" s="2">
        <v>46243</v>
      </c>
      <c r="C362" t="s">
        <v>16</v>
      </c>
      <c r="D362" t="s">
        <v>17</v>
      </c>
      <c r="E362" t="s">
        <v>18</v>
      </c>
      <c r="F362" t="s">
        <v>19</v>
      </c>
      <c r="G362">
        <v>7</v>
      </c>
      <c r="H362">
        <v>670328.59</v>
      </c>
      <c r="I362">
        <v>0.15</v>
      </c>
      <c r="J362">
        <v>4692300.13</v>
      </c>
      <c r="K362">
        <v>703845.02</v>
      </c>
      <c r="L362">
        <v>7.4999999999999997E-2</v>
      </c>
      <c r="M362">
        <v>299134.13</v>
      </c>
      <c r="N362">
        <v>4287589.24</v>
      </c>
      <c r="O362" t="s">
        <v>20</v>
      </c>
    </row>
    <row r="363" spans="1:15" x14ac:dyDescent="0.35">
      <c r="A363" t="s">
        <v>416</v>
      </c>
      <c r="B363" s="2">
        <v>46037</v>
      </c>
      <c r="C363" t="s">
        <v>22</v>
      </c>
      <c r="D363" t="s">
        <v>23</v>
      </c>
      <c r="E363" t="s">
        <v>24</v>
      </c>
      <c r="F363" t="s">
        <v>19</v>
      </c>
      <c r="G363">
        <v>1</v>
      </c>
      <c r="H363">
        <v>17839.93</v>
      </c>
      <c r="I363">
        <v>0.05</v>
      </c>
      <c r="J363">
        <v>17839.93</v>
      </c>
      <c r="K363">
        <v>892</v>
      </c>
      <c r="L363">
        <v>0.1</v>
      </c>
      <c r="M363">
        <v>1694.79</v>
      </c>
      <c r="N363">
        <v>18642.72</v>
      </c>
      <c r="O363" t="s">
        <v>20</v>
      </c>
    </row>
    <row r="364" spans="1:15" x14ac:dyDescent="0.35">
      <c r="A364" t="s">
        <v>417</v>
      </c>
      <c r="B364" s="2">
        <v>46035</v>
      </c>
      <c r="C364" t="s">
        <v>27</v>
      </c>
      <c r="D364" t="s">
        <v>28</v>
      </c>
      <c r="E364" t="s">
        <v>29</v>
      </c>
      <c r="F364" t="s">
        <v>30</v>
      </c>
      <c r="G364">
        <v>6</v>
      </c>
      <c r="H364">
        <v>97167.15</v>
      </c>
      <c r="I364">
        <v>0.05</v>
      </c>
      <c r="J364">
        <v>583002.9</v>
      </c>
      <c r="K364">
        <v>29150.15</v>
      </c>
      <c r="L364">
        <v>0.1</v>
      </c>
      <c r="M364">
        <v>55385.279999999999</v>
      </c>
      <c r="N364">
        <v>609238.03</v>
      </c>
      <c r="O364" t="s">
        <v>35</v>
      </c>
    </row>
    <row r="365" spans="1:15" x14ac:dyDescent="0.35">
      <c r="A365" t="s">
        <v>418</v>
      </c>
      <c r="B365" s="2">
        <v>46182</v>
      </c>
      <c r="C365" t="s">
        <v>32</v>
      </c>
      <c r="D365" t="s">
        <v>33</v>
      </c>
      <c r="E365" t="s">
        <v>34</v>
      </c>
      <c r="F365" t="s">
        <v>30</v>
      </c>
      <c r="G365">
        <v>2</v>
      </c>
      <c r="H365">
        <v>12866.84</v>
      </c>
      <c r="I365">
        <v>0.05</v>
      </c>
      <c r="J365">
        <v>25733.68</v>
      </c>
      <c r="K365">
        <v>1286.68</v>
      </c>
      <c r="L365">
        <v>0.1</v>
      </c>
      <c r="M365">
        <v>2444.6999999999998</v>
      </c>
      <c r="N365">
        <v>26891.7</v>
      </c>
      <c r="O365" t="s">
        <v>35</v>
      </c>
    </row>
    <row r="366" spans="1:15" x14ac:dyDescent="0.35">
      <c r="A366" t="s">
        <v>419</v>
      </c>
      <c r="B366" s="2">
        <v>46074</v>
      </c>
      <c r="C366" t="s">
        <v>37</v>
      </c>
      <c r="D366" t="s">
        <v>38</v>
      </c>
      <c r="E366" t="s">
        <v>39</v>
      </c>
      <c r="F366" t="s">
        <v>40</v>
      </c>
      <c r="G366">
        <v>2</v>
      </c>
      <c r="H366">
        <v>140614.04</v>
      </c>
      <c r="I366">
        <v>0</v>
      </c>
      <c r="J366">
        <v>281228.08</v>
      </c>
      <c r="K366">
        <v>0</v>
      </c>
      <c r="L366">
        <v>0.1</v>
      </c>
      <c r="M366">
        <v>28122.81</v>
      </c>
      <c r="N366">
        <v>309350.89</v>
      </c>
      <c r="O366" t="s">
        <v>20</v>
      </c>
    </row>
    <row r="367" spans="1:15" x14ac:dyDescent="0.35">
      <c r="A367" t="s">
        <v>420</v>
      </c>
      <c r="B367" s="2">
        <v>46113</v>
      </c>
      <c r="C367" t="s">
        <v>42</v>
      </c>
      <c r="D367" t="s">
        <v>43</v>
      </c>
      <c r="E367" t="s">
        <v>44</v>
      </c>
      <c r="F367" t="s">
        <v>45</v>
      </c>
      <c r="G367">
        <v>4</v>
      </c>
      <c r="H367">
        <v>84683.06</v>
      </c>
      <c r="I367">
        <v>0.1</v>
      </c>
      <c r="J367">
        <v>338732.24</v>
      </c>
      <c r="K367">
        <v>33873.22</v>
      </c>
      <c r="L367">
        <v>0.1</v>
      </c>
      <c r="M367">
        <v>30485.9</v>
      </c>
      <c r="N367">
        <v>335344.92</v>
      </c>
      <c r="O367" t="s">
        <v>20</v>
      </c>
    </row>
    <row r="368" spans="1:15" x14ac:dyDescent="0.35">
      <c r="A368" t="s">
        <v>421</v>
      </c>
      <c r="B368" s="2">
        <v>46047</v>
      </c>
      <c r="C368" t="s">
        <v>47</v>
      </c>
      <c r="D368" t="s">
        <v>48</v>
      </c>
      <c r="E368" t="s">
        <v>49</v>
      </c>
      <c r="F368" t="s">
        <v>50</v>
      </c>
      <c r="G368">
        <v>2</v>
      </c>
      <c r="H368">
        <v>124137.43</v>
      </c>
      <c r="I368">
        <v>0.1</v>
      </c>
      <c r="J368">
        <v>248274.86</v>
      </c>
      <c r="K368">
        <v>24827.49</v>
      </c>
      <c r="L368">
        <v>7.4999999999999997E-2</v>
      </c>
      <c r="M368">
        <v>16758.55</v>
      </c>
      <c r="N368">
        <v>240205.92</v>
      </c>
      <c r="O368" t="s">
        <v>35</v>
      </c>
    </row>
    <row r="369" spans="1:15" x14ac:dyDescent="0.35">
      <c r="A369" t="s">
        <v>422</v>
      </c>
      <c r="B369" s="2">
        <v>46169</v>
      </c>
      <c r="C369" t="s">
        <v>52</v>
      </c>
      <c r="D369" t="s">
        <v>53</v>
      </c>
      <c r="E369" t="s">
        <v>54</v>
      </c>
      <c r="F369" t="s">
        <v>50</v>
      </c>
      <c r="G369">
        <v>7</v>
      </c>
      <c r="H369">
        <v>106347.43</v>
      </c>
      <c r="I369">
        <v>0</v>
      </c>
      <c r="J369">
        <v>744432.01</v>
      </c>
      <c r="K369">
        <v>0</v>
      </c>
      <c r="L369">
        <v>0.1</v>
      </c>
      <c r="M369">
        <v>74443.199999999997</v>
      </c>
      <c r="N369">
        <v>818875.21</v>
      </c>
      <c r="O369" t="s">
        <v>35</v>
      </c>
    </row>
    <row r="370" spans="1:15" x14ac:dyDescent="0.35">
      <c r="A370" t="s">
        <v>423</v>
      </c>
      <c r="B370" s="2">
        <v>46167</v>
      </c>
      <c r="C370" t="s">
        <v>56</v>
      </c>
      <c r="D370" t="s">
        <v>57</v>
      </c>
      <c r="E370" t="s">
        <v>58</v>
      </c>
      <c r="F370" t="s">
        <v>19</v>
      </c>
      <c r="G370">
        <v>3</v>
      </c>
      <c r="H370">
        <v>24520.3</v>
      </c>
      <c r="I370">
        <v>0.15</v>
      </c>
      <c r="J370">
        <v>73560.899999999994</v>
      </c>
      <c r="K370">
        <v>11034.13</v>
      </c>
      <c r="L370">
        <v>7.4999999999999997E-2</v>
      </c>
      <c r="M370">
        <v>4689.51</v>
      </c>
      <c r="N370">
        <v>67216.28</v>
      </c>
      <c r="O370" t="s">
        <v>35</v>
      </c>
    </row>
    <row r="371" spans="1:15" x14ac:dyDescent="0.35">
      <c r="A371" t="s">
        <v>424</v>
      </c>
      <c r="B371" s="2">
        <v>46143</v>
      </c>
      <c r="C371" t="s">
        <v>60</v>
      </c>
      <c r="D371" t="s">
        <v>61</v>
      </c>
      <c r="E371" t="s">
        <v>62</v>
      </c>
      <c r="F371" t="s">
        <v>19</v>
      </c>
      <c r="G371">
        <v>2</v>
      </c>
      <c r="H371">
        <v>208254.87</v>
      </c>
      <c r="I371">
        <v>0.15</v>
      </c>
      <c r="J371">
        <v>416509.74</v>
      </c>
      <c r="K371">
        <v>62476.46</v>
      </c>
      <c r="L371">
        <v>0.1</v>
      </c>
      <c r="M371">
        <v>35403.33</v>
      </c>
      <c r="N371">
        <v>389436.61</v>
      </c>
      <c r="O371" t="s">
        <v>35</v>
      </c>
    </row>
    <row r="372" spans="1:15" x14ac:dyDescent="0.35">
      <c r="A372" t="s">
        <v>425</v>
      </c>
      <c r="B372" s="2">
        <v>46162</v>
      </c>
      <c r="C372" t="s">
        <v>16</v>
      </c>
      <c r="D372" t="s">
        <v>17</v>
      </c>
      <c r="E372" t="s">
        <v>18</v>
      </c>
      <c r="F372" t="s">
        <v>19</v>
      </c>
      <c r="G372">
        <v>3</v>
      </c>
      <c r="H372">
        <v>694679.01</v>
      </c>
      <c r="I372">
        <v>0.15</v>
      </c>
      <c r="J372">
        <v>2084037.03</v>
      </c>
      <c r="K372">
        <v>312605.55</v>
      </c>
      <c r="L372">
        <v>7.4999999999999997E-2</v>
      </c>
      <c r="M372">
        <v>132857.35999999999</v>
      </c>
      <c r="N372">
        <v>1904288.84</v>
      </c>
      <c r="O372" t="s">
        <v>35</v>
      </c>
    </row>
    <row r="373" spans="1:15" x14ac:dyDescent="0.35">
      <c r="A373" t="s">
        <v>426</v>
      </c>
      <c r="B373" s="2">
        <v>46103</v>
      </c>
      <c r="C373" t="s">
        <v>22</v>
      </c>
      <c r="D373" t="s">
        <v>23</v>
      </c>
      <c r="E373" t="s">
        <v>24</v>
      </c>
      <c r="F373" t="s">
        <v>19</v>
      </c>
      <c r="G373">
        <v>4</v>
      </c>
      <c r="H373">
        <v>18626.79</v>
      </c>
      <c r="I373">
        <v>0.05</v>
      </c>
      <c r="J373">
        <v>74507.16</v>
      </c>
      <c r="K373">
        <v>3725.36</v>
      </c>
      <c r="L373">
        <v>7.4999999999999997E-2</v>
      </c>
      <c r="M373">
        <v>5308.64</v>
      </c>
      <c r="N373">
        <v>76090.44</v>
      </c>
      <c r="O373" t="s">
        <v>35</v>
      </c>
    </row>
    <row r="374" spans="1:15" x14ac:dyDescent="0.35">
      <c r="A374" t="s">
        <v>427</v>
      </c>
      <c r="B374" s="2">
        <v>46134</v>
      </c>
      <c r="C374" t="s">
        <v>27</v>
      </c>
      <c r="D374" t="s">
        <v>28</v>
      </c>
      <c r="E374" t="s">
        <v>29</v>
      </c>
      <c r="F374" t="s">
        <v>30</v>
      </c>
      <c r="G374">
        <v>1</v>
      </c>
      <c r="H374">
        <v>95341.71</v>
      </c>
      <c r="I374">
        <v>0.1</v>
      </c>
      <c r="J374">
        <v>95341.71</v>
      </c>
      <c r="K374">
        <v>9534.17</v>
      </c>
      <c r="L374">
        <v>7.4999999999999997E-2</v>
      </c>
      <c r="M374">
        <v>6435.57</v>
      </c>
      <c r="N374">
        <v>92243.11</v>
      </c>
      <c r="O374" t="s">
        <v>35</v>
      </c>
    </row>
    <row r="375" spans="1:15" x14ac:dyDescent="0.35">
      <c r="A375" t="s">
        <v>428</v>
      </c>
      <c r="B375" s="2">
        <v>46196</v>
      </c>
      <c r="C375" t="s">
        <v>32</v>
      </c>
      <c r="D375" t="s">
        <v>33</v>
      </c>
      <c r="E375" t="s">
        <v>34</v>
      </c>
      <c r="F375" t="s">
        <v>30</v>
      </c>
      <c r="G375">
        <v>5</v>
      </c>
      <c r="H375">
        <v>11394.4</v>
      </c>
      <c r="I375">
        <v>0.1</v>
      </c>
      <c r="J375">
        <v>56972</v>
      </c>
      <c r="K375">
        <v>5697.2</v>
      </c>
      <c r="L375">
        <v>0.1</v>
      </c>
      <c r="M375">
        <v>5127.4799999999996</v>
      </c>
      <c r="N375">
        <v>56402.28</v>
      </c>
      <c r="O375" t="s">
        <v>35</v>
      </c>
    </row>
    <row r="376" spans="1:15" x14ac:dyDescent="0.35">
      <c r="A376" t="s">
        <v>429</v>
      </c>
      <c r="B376" s="2">
        <v>46080</v>
      </c>
      <c r="C376" t="s">
        <v>37</v>
      </c>
      <c r="D376" t="s">
        <v>38</v>
      </c>
      <c r="E376" t="s">
        <v>39</v>
      </c>
      <c r="F376" t="s">
        <v>40</v>
      </c>
      <c r="G376">
        <v>4</v>
      </c>
      <c r="H376">
        <v>148188.66</v>
      </c>
      <c r="I376">
        <v>0.05</v>
      </c>
      <c r="J376">
        <v>592754.64</v>
      </c>
      <c r="K376">
        <v>29637.73</v>
      </c>
      <c r="L376">
        <v>7.4999999999999997E-2</v>
      </c>
      <c r="M376">
        <v>42233.77</v>
      </c>
      <c r="N376">
        <v>605350.68000000005</v>
      </c>
      <c r="O376" t="s">
        <v>20</v>
      </c>
    </row>
    <row r="377" spans="1:15" x14ac:dyDescent="0.35">
      <c r="A377" t="s">
        <v>430</v>
      </c>
      <c r="B377" s="2">
        <v>46145</v>
      </c>
      <c r="C377" t="s">
        <v>42</v>
      </c>
      <c r="D377" t="s">
        <v>43</v>
      </c>
      <c r="E377" t="s">
        <v>44</v>
      </c>
      <c r="F377" t="s">
        <v>45</v>
      </c>
      <c r="G377">
        <v>5</v>
      </c>
      <c r="H377">
        <v>86810.86</v>
      </c>
      <c r="I377">
        <v>0.1</v>
      </c>
      <c r="J377">
        <v>434054.3</v>
      </c>
      <c r="K377">
        <v>43405.43</v>
      </c>
      <c r="L377">
        <v>7.4999999999999997E-2</v>
      </c>
      <c r="M377">
        <v>29298.67</v>
      </c>
      <c r="N377">
        <v>419947.54</v>
      </c>
      <c r="O377" t="s">
        <v>20</v>
      </c>
    </row>
    <row r="378" spans="1:15" x14ac:dyDescent="0.35">
      <c r="A378" t="s">
        <v>431</v>
      </c>
      <c r="B378" s="2">
        <v>46035</v>
      </c>
      <c r="C378" t="s">
        <v>47</v>
      </c>
      <c r="D378" t="s">
        <v>48</v>
      </c>
      <c r="E378" t="s">
        <v>49</v>
      </c>
      <c r="F378" t="s">
        <v>50</v>
      </c>
      <c r="G378">
        <v>5</v>
      </c>
      <c r="H378">
        <v>127376.76</v>
      </c>
      <c r="I378">
        <v>0</v>
      </c>
      <c r="J378">
        <v>636883.80000000005</v>
      </c>
      <c r="K378">
        <v>0</v>
      </c>
      <c r="L378">
        <v>0.1</v>
      </c>
      <c r="M378">
        <v>63688.38</v>
      </c>
      <c r="N378">
        <v>700572.18</v>
      </c>
      <c r="O378" t="s">
        <v>20</v>
      </c>
    </row>
    <row r="379" spans="1:15" x14ac:dyDescent="0.35">
      <c r="A379" t="s">
        <v>432</v>
      </c>
      <c r="B379" s="2">
        <v>46178</v>
      </c>
      <c r="C379" t="s">
        <v>52</v>
      </c>
      <c r="D379" t="s">
        <v>53</v>
      </c>
      <c r="E379" t="s">
        <v>54</v>
      </c>
      <c r="F379" t="s">
        <v>50</v>
      </c>
      <c r="G379">
        <v>2</v>
      </c>
      <c r="H379">
        <v>97772.36</v>
      </c>
      <c r="I379">
        <v>0.05</v>
      </c>
      <c r="J379">
        <v>195544.72</v>
      </c>
      <c r="K379">
        <v>9777.24</v>
      </c>
      <c r="L379">
        <v>0.1</v>
      </c>
      <c r="M379">
        <v>18576.75</v>
      </c>
      <c r="N379">
        <v>204344.23</v>
      </c>
      <c r="O379" t="s">
        <v>35</v>
      </c>
    </row>
    <row r="380" spans="1:15" x14ac:dyDescent="0.35">
      <c r="A380" t="s">
        <v>433</v>
      </c>
      <c r="B380" s="2">
        <v>46178</v>
      </c>
      <c r="C380" t="s">
        <v>56</v>
      </c>
      <c r="D380" t="s">
        <v>57</v>
      </c>
      <c r="E380" t="s">
        <v>58</v>
      </c>
      <c r="F380" t="s">
        <v>19</v>
      </c>
      <c r="G380">
        <v>2</v>
      </c>
      <c r="H380">
        <v>24022.58</v>
      </c>
      <c r="I380">
        <v>0.15</v>
      </c>
      <c r="J380">
        <v>48045.16</v>
      </c>
      <c r="K380">
        <v>7206.77</v>
      </c>
      <c r="L380">
        <v>0.1</v>
      </c>
      <c r="M380">
        <v>4083.84</v>
      </c>
      <c r="N380">
        <v>44922.23</v>
      </c>
      <c r="O380" t="s">
        <v>20</v>
      </c>
    </row>
    <row r="381" spans="1:15" x14ac:dyDescent="0.35">
      <c r="A381" t="s">
        <v>434</v>
      </c>
      <c r="B381" s="2">
        <v>46173</v>
      </c>
      <c r="C381" t="s">
        <v>60</v>
      </c>
      <c r="D381" t="s">
        <v>61</v>
      </c>
      <c r="E381" t="s">
        <v>62</v>
      </c>
      <c r="F381" t="s">
        <v>19</v>
      </c>
      <c r="G381">
        <v>4</v>
      </c>
      <c r="H381">
        <v>226034.15</v>
      </c>
      <c r="I381">
        <v>0</v>
      </c>
      <c r="J381">
        <v>904136.6</v>
      </c>
      <c r="K381">
        <v>0</v>
      </c>
      <c r="L381">
        <v>0.1</v>
      </c>
      <c r="M381">
        <v>90413.66</v>
      </c>
      <c r="N381">
        <v>994550.26</v>
      </c>
      <c r="O381" t="s">
        <v>20</v>
      </c>
    </row>
    <row r="382" spans="1:15" x14ac:dyDescent="0.35">
      <c r="A382" t="s">
        <v>435</v>
      </c>
      <c r="B382" s="2">
        <v>46075</v>
      </c>
      <c r="C382" t="s">
        <v>16</v>
      </c>
      <c r="D382" t="s">
        <v>17</v>
      </c>
      <c r="E382" t="s">
        <v>18</v>
      </c>
      <c r="F382" t="s">
        <v>19</v>
      </c>
      <c r="G382">
        <v>1</v>
      </c>
      <c r="H382">
        <v>642090.26</v>
      </c>
      <c r="I382">
        <v>0</v>
      </c>
      <c r="J382">
        <v>642090.26</v>
      </c>
      <c r="K382">
        <v>0</v>
      </c>
      <c r="L382">
        <v>7.4999999999999997E-2</v>
      </c>
      <c r="M382">
        <v>48156.77</v>
      </c>
      <c r="N382">
        <v>690247.03</v>
      </c>
      <c r="O382" t="s">
        <v>20</v>
      </c>
    </row>
    <row r="383" spans="1:15" x14ac:dyDescent="0.35">
      <c r="A383" t="s">
        <v>436</v>
      </c>
      <c r="B383" s="2">
        <v>46176</v>
      </c>
      <c r="C383" t="s">
        <v>22</v>
      </c>
      <c r="D383" t="s">
        <v>23</v>
      </c>
      <c r="E383" t="s">
        <v>24</v>
      </c>
      <c r="F383" t="s">
        <v>19</v>
      </c>
      <c r="G383">
        <v>2</v>
      </c>
      <c r="H383">
        <v>17921.93</v>
      </c>
      <c r="I383">
        <v>0</v>
      </c>
      <c r="J383">
        <v>35843.86</v>
      </c>
      <c r="K383">
        <v>0</v>
      </c>
      <c r="L383">
        <v>7.4999999999999997E-2</v>
      </c>
      <c r="M383">
        <v>2688.29</v>
      </c>
      <c r="N383">
        <v>38532.15</v>
      </c>
      <c r="O383" t="s">
        <v>35</v>
      </c>
    </row>
    <row r="384" spans="1:15" x14ac:dyDescent="0.35">
      <c r="A384" t="s">
        <v>437</v>
      </c>
      <c r="B384" s="2">
        <v>46037</v>
      </c>
      <c r="C384" t="s">
        <v>27</v>
      </c>
      <c r="D384" t="s">
        <v>28</v>
      </c>
      <c r="E384" t="s">
        <v>29</v>
      </c>
      <c r="F384" t="s">
        <v>30</v>
      </c>
      <c r="G384">
        <v>7</v>
      </c>
      <c r="H384">
        <v>90899.74</v>
      </c>
      <c r="I384">
        <v>0.1</v>
      </c>
      <c r="J384">
        <v>636298.18000000005</v>
      </c>
      <c r="K384">
        <v>63629.82</v>
      </c>
      <c r="L384">
        <v>0.1</v>
      </c>
      <c r="M384">
        <v>57266.84</v>
      </c>
      <c r="N384">
        <v>629935.19999999995</v>
      </c>
      <c r="O384" t="s">
        <v>35</v>
      </c>
    </row>
    <row r="385" spans="1:15" x14ac:dyDescent="0.35">
      <c r="A385" t="s">
        <v>438</v>
      </c>
      <c r="B385" s="2">
        <v>46179</v>
      </c>
      <c r="C385" t="s">
        <v>32</v>
      </c>
      <c r="D385" t="s">
        <v>33</v>
      </c>
      <c r="E385" t="s">
        <v>34</v>
      </c>
      <c r="F385" t="s">
        <v>30</v>
      </c>
      <c r="G385">
        <v>6</v>
      </c>
      <c r="H385">
        <v>12253.47</v>
      </c>
      <c r="I385">
        <v>0</v>
      </c>
      <c r="J385">
        <v>73520.820000000007</v>
      </c>
      <c r="K385">
        <v>0</v>
      </c>
      <c r="L385">
        <v>0.1</v>
      </c>
      <c r="M385">
        <v>7352.08</v>
      </c>
      <c r="N385">
        <v>80872.899999999994</v>
      </c>
      <c r="O385" t="s">
        <v>25</v>
      </c>
    </row>
    <row r="386" spans="1:15" x14ac:dyDescent="0.35">
      <c r="A386" t="s">
        <v>439</v>
      </c>
      <c r="B386" s="2">
        <v>46068</v>
      </c>
      <c r="C386" t="s">
        <v>37</v>
      </c>
      <c r="D386" t="s">
        <v>38</v>
      </c>
      <c r="E386" t="s">
        <v>39</v>
      </c>
      <c r="F386" t="s">
        <v>40</v>
      </c>
      <c r="G386">
        <v>3</v>
      </c>
      <c r="H386">
        <v>152329.13</v>
      </c>
      <c r="I386">
        <v>0.05</v>
      </c>
      <c r="J386">
        <v>456987.39</v>
      </c>
      <c r="K386">
        <v>22849.37</v>
      </c>
      <c r="L386">
        <v>7.4999999999999997E-2</v>
      </c>
      <c r="M386">
        <v>32560.35</v>
      </c>
      <c r="N386">
        <v>466698.37</v>
      </c>
      <c r="O386" t="s">
        <v>35</v>
      </c>
    </row>
    <row r="387" spans="1:15" x14ac:dyDescent="0.35">
      <c r="A387" t="s">
        <v>440</v>
      </c>
      <c r="B387" s="2">
        <v>46050</v>
      </c>
      <c r="C387" t="s">
        <v>42</v>
      </c>
      <c r="D387" t="s">
        <v>43</v>
      </c>
      <c r="E387" t="s">
        <v>44</v>
      </c>
      <c r="F387" t="s">
        <v>45</v>
      </c>
      <c r="G387">
        <v>7</v>
      </c>
      <c r="H387">
        <v>88053.43</v>
      </c>
      <c r="I387">
        <v>0.1</v>
      </c>
      <c r="J387">
        <v>616374.01</v>
      </c>
      <c r="K387">
        <v>61637.4</v>
      </c>
      <c r="L387">
        <v>7.4999999999999997E-2</v>
      </c>
      <c r="M387">
        <v>41605.25</v>
      </c>
      <c r="N387">
        <v>596341.86</v>
      </c>
      <c r="O387" t="s">
        <v>35</v>
      </c>
    </row>
    <row r="388" spans="1:15" x14ac:dyDescent="0.35">
      <c r="A388" t="s">
        <v>441</v>
      </c>
      <c r="B388" s="2">
        <v>46058</v>
      </c>
      <c r="C388" t="s">
        <v>47</v>
      </c>
      <c r="D388" t="s">
        <v>48</v>
      </c>
      <c r="E388" t="s">
        <v>49</v>
      </c>
      <c r="F388" t="s">
        <v>50</v>
      </c>
      <c r="G388">
        <v>3</v>
      </c>
      <c r="H388">
        <v>121981.81</v>
      </c>
      <c r="I388">
        <v>0.05</v>
      </c>
      <c r="J388">
        <v>365945.43</v>
      </c>
      <c r="K388">
        <v>18297.27</v>
      </c>
      <c r="L388">
        <v>0.1</v>
      </c>
      <c r="M388">
        <v>34764.82</v>
      </c>
      <c r="N388">
        <v>382412.98</v>
      </c>
      <c r="O388" t="s">
        <v>35</v>
      </c>
    </row>
    <row r="389" spans="1:15" x14ac:dyDescent="0.35">
      <c r="A389" t="s">
        <v>442</v>
      </c>
      <c r="B389" s="2">
        <v>46190</v>
      </c>
      <c r="C389" t="s">
        <v>52</v>
      </c>
      <c r="D389" t="s">
        <v>53</v>
      </c>
      <c r="E389" t="s">
        <v>54</v>
      </c>
      <c r="F389" t="s">
        <v>50</v>
      </c>
      <c r="G389">
        <v>6</v>
      </c>
      <c r="H389">
        <v>96238.33</v>
      </c>
      <c r="I389">
        <v>0</v>
      </c>
      <c r="J389">
        <v>577429.98</v>
      </c>
      <c r="K389">
        <v>0</v>
      </c>
      <c r="L389">
        <v>7.4999999999999997E-2</v>
      </c>
      <c r="M389">
        <v>43307.25</v>
      </c>
      <c r="N389">
        <v>620737.23</v>
      </c>
      <c r="O389" t="s">
        <v>35</v>
      </c>
    </row>
    <row r="390" spans="1:15" x14ac:dyDescent="0.35">
      <c r="A390" t="s">
        <v>443</v>
      </c>
      <c r="B390" s="2">
        <v>46222</v>
      </c>
      <c r="C390" t="s">
        <v>56</v>
      </c>
      <c r="D390" t="s">
        <v>57</v>
      </c>
      <c r="E390" t="s">
        <v>58</v>
      </c>
      <c r="F390" t="s">
        <v>19</v>
      </c>
      <c r="G390">
        <v>1</v>
      </c>
      <c r="H390">
        <v>23906.63</v>
      </c>
      <c r="I390">
        <v>0</v>
      </c>
      <c r="J390">
        <v>23906.63</v>
      </c>
      <c r="K390">
        <v>0</v>
      </c>
      <c r="L390">
        <v>7.4999999999999997E-2</v>
      </c>
      <c r="M390">
        <v>1793</v>
      </c>
      <c r="N390">
        <v>25699.63</v>
      </c>
      <c r="O390" t="s">
        <v>35</v>
      </c>
    </row>
    <row r="391" spans="1:15" x14ac:dyDescent="0.35">
      <c r="A391" t="s">
        <v>444</v>
      </c>
      <c r="B391" s="2">
        <v>46053</v>
      </c>
      <c r="C391" t="s">
        <v>60</v>
      </c>
      <c r="D391" t="s">
        <v>61</v>
      </c>
      <c r="E391" t="s">
        <v>62</v>
      </c>
      <c r="F391" t="s">
        <v>19</v>
      </c>
      <c r="G391">
        <v>4</v>
      </c>
      <c r="H391">
        <v>204779.96</v>
      </c>
      <c r="I391">
        <v>0</v>
      </c>
      <c r="J391">
        <v>819119.84</v>
      </c>
      <c r="K391">
        <v>0</v>
      </c>
      <c r="L391">
        <v>0.5</v>
      </c>
      <c r="M391">
        <v>81911.98</v>
      </c>
      <c r="N391">
        <v>901031.82</v>
      </c>
      <c r="O391" t="s">
        <v>20</v>
      </c>
    </row>
    <row r="392" spans="1:15" x14ac:dyDescent="0.35">
      <c r="A392" t="s">
        <v>445</v>
      </c>
      <c r="B392" s="2">
        <v>46070</v>
      </c>
      <c r="C392" t="s">
        <v>16</v>
      </c>
      <c r="D392" t="s">
        <v>17</v>
      </c>
      <c r="E392" t="s">
        <v>18</v>
      </c>
      <c r="F392" t="s">
        <v>19</v>
      </c>
      <c r="G392">
        <v>6</v>
      </c>
      <c r="H392">
        <v>659652.44999999995</v>
      </c>
      <c r="I392">
        <v>0.1</v>
      </c>
      <c r="J392">
        <v>3957914.7</v>
      </c>
      <c r="K392">
        <v>395791.47</v>
      </c>
      <c r="L392">
        <v>0.1</v>
      </c>
      <c r="M392">
        <v>356212.32</v>
      </c>
      <c r="N392">
        <v>3918335.55</v>
      </c>
      <c r="O392" t="s">
        <v>35</v>
      </c>
    </row>
    <row r="393" spans="1:15" x14ac:dyDescent="0.35">
      <c r="A393" t="s">
        <v>446</v>
      </c>
      <c r="B393" s="2">
        <v>46198</v>
      </c>
      <c r="C393" t="s">
        <v>22</v>
      </c>
      <c r="D393" t="s">
        <v>23</v>
      </c>
      <c r="E393" t="s">
        <v>24</v>
      </c>
      <c r="F393" t="s">
        <v>19</v>
      </c>
      <c r="G393">
        <v>3</v>
      </c>
      <c r="H393">
        <v>17108.14</v>
      </c>
      <c r="I393">
        <v>0.05</v>
      </c>
      <c r="J393">
        <v>51324.42</v>
      </c>
      <c r="K393">
        <v>2566.2199999999998</v>
      </c>
      <c r="L393">
        <v>7.4999999999999997E-2</v>
      </c>
      <c r="M393">
        <v>3656.86</v>
      </c>
      <c r="N393">
        <v>52415.06</v>
      </c>
      <c r="O393" t="s">
        <v>20</v>
      </c>
    </row>
    <row r="394" spans="1:15" x14ac:dyDescent="0.35">
      <c r="A394" t="s">
        <v>447</v>
      </c>
      <c r="B394" s="2">
        <v>46142</v>
      </c>
      <c r="C394" t="s">
        <v>27</v>
      </c>
      <c r="D394" t="s">
        <v>28</v>
      </c>
      <c r="E394" t="s">
        <v>29</v>
      </c>
      <c r="F394" t="s">
        <v>30</v>
      </c>
      <c r="G394">
        <v>1</v>
      </c>
      <c r="H394">
        <v>102531.3</v>
      </c>
      <c r="I394">
        <v>0.1</v>
      </c>
      <c r="J394">
        <v>102531.3</v>
      </c>
      <c r="K394">
        <v>10253.129999999999</v>
      </c>
      <c r="L394">
        <v>0.1</v>
      </c>
      <c r="M394">
        <v>9227.82</v>
      </c>
      <c r="N394">
        <v>101505.99</v>
      </c>
      <c r="O394" t="s">
        <v>35</v>
      </c>
    </row>
    <row r="395" spans="1:15" x14ac:dyDescent="0.35">
      <c r="A395" t="s">
        <v>448</v>
      </c>
      <c r="B395" s="2">
        <v>46247</v>
      </c>
      <c r="C395" t="s">
        <v>32</v>
      </c>
      <c r="D395" t="s">
        <v>33</v>
      </c>
      <c r="E395" t="s">
        <v>34</v>
      </c>
      <c r="F395" t="s">
        <v>30</v>
      </c>
      <c r="G395">
        <v>4</v>
      </c>
      <c r="H395">
        <v>11210.43</v>
      </c>
      <c r="I395">
        <v>0</v>
      </c>
      <c r="J395">
        <v>44841.72</v>
      </c>
      <c r="K395">
        <v>0</v>
      </c>
      <c r="L395">
        <v>7.4999999999999997E-2</v>
      </c>
      <c r="M395">
        <v>3363.13</v>
      </c>
      <c r="N395">
        <v>48204.85</v>
      </c>
      <c r="O395" t="s">
        <v>20</v>
      </c>
    </row>
    <row r="396" spans="1:15" x14ac:dyDescent="0.35">
      <c r="A396" t="s">
        <v>449</v>
      </c>
      <c r="B396" s="2">
        <v>46184</v>
      </c>
      <c r="C396" t="s">
        <v>37</v>
      </c>
      <c r="D396" t="s">
        <v>38</v>
      </c>
      <c r="E396" t="s">
        <v>39</v>
      </c>
      <c r="F396" t="s">
        <v>40</v>
      </c>
      <c r="G396">
        <v>1</v>
      </c>
      <c r="H396">
        <v>142091.47</v>
      </c>
      <c r="I396">
        <v>0.05</v>
      </c>
      <c r="J396">
        <v>142091.47</v>
      </c>
      <c r="K396">
        <v>7104.57</v>
      </c>
      <c r="L396">
        <v>0.1</v>
      </c>
      <c r="M396">
        <v>13498.69</v>
      </c>
      <c r="N396">
        <v>148485.59</v>
      </c>
      <c r="O396" t="s">
        <v>35</v>
      </c>
    </row>
    <row r="397" spans="1:15" x14ac:dyDescent="0.35">
      <c r="A397" t="s">
        <v>450</v>
      </c>
      <c r="B397" s="2">
        <v>46238</v>
      </c>
      <c r="C397" t="s">
        <v>42</v>
      </c>
      <c r="D397" t="s">
        <v>43</v>
      </c>
      <c r="E397" t="s">
        <v>44</v>
      </c>
      <c r="F397" t="s">
        <v>45</v>
      </c>
      <c r="G397">
        <v>4</v>
      </c>
      <c r="H397">
        <v>82926.97</v>
      </c>
      <c r="I397">
        <v>0.15</v>
      </c>
      <c r="J397">
        <v>331707.88</v>
      </c>
      <c r="K397">
        <v>49756.18</v>
      </c>
      <c r="L397">
        <v>0.1</v>
      </c>
      <c r="M397">
        <v>28195.17</v>
      </c>
      <c r="N397">
        <v>310146.87</v>
      </c>
      <c r="O397" t="s">
        <v>35</v>
      </c>
    </row>
    <row r="398" spans="1:15" x14ac:dyDescent="0.35">
      <c r="A398" t="s">
        <v>451</v>
      </c>
      <c r="B398" s="2">
        <v>46130</v>
      </c>
      <c r="C398" t="s">
        <v>47</v>
      </c>
      <c r="D398" t="s">
        <v>48</v>
      </c>
      <c r="E398" t="s">
        <v>49</v>
      </c>
      <c r="F398" t="s">
        <v>50</v>
      </c>
      <c r="G398">
        <v>6</v>
      </c>
      <c r="H398">
        <v>114905.13</v>
      </c>
      <c r="I398">
        <v>0.15</v>
      </c>
      <c r="J398">
        <v>689430.78</v>
      </c>
      <c r="K398">
        <v>103414.62</v>
      </c>
      <c r="L398">
        <v>7.4999999999999997E-2</v>
      </c>
      <c r="M398">
        <v>43951.21</v>
      </c>
      <c r="N398">
        <v>629967.37</v>
      </c>
      <c r="O398" t="s">
        <v>35</v>
      </c>
    </row>
    <row r="399" spans="1:15" x14ac:dyDescent="0.35">
      <c r="A399" t="s">
        <v>452</v>
      </c>
      <c r="B399" s="2">
        <v>46147</v>
      </c>
      <c r="C399" t="s">
        <v>52</v>
      </c>
      <c r="D399" t="s">
        <v>53</v>
      </c>
      <c r="E399" t="s">
        <v>54</v>
      </c>
      <c r="F399" t="s">
        <v>50</v>
      </c>
      <c r="G399">
        <v>4</v>
      </c>
      <c r="H399">
        <v>106832.02</v>
      </c>
      <c r="I399">
        <v>0.15</v>
      </c>
      <c r="J399">
        <v>427328.08</v>
      </c>
      <c r="K399">
        <v>64099.21</v>
      </c>
      <c r="L399">
        <v>7.4999999999999997E-2</v>
      </c>
      <c r="M399">
        <v>27242.17</v>
      </c>
      <c r="N399">
        <v>390471.04</v>
      </c>
      <c r="O399" t="s">
        <v>20</v>
      </c>
    </row>
    <row r="400" spans="1:15" x14ac:dyDescent="0.35">
      <c r="A400" t="s">
        <v>453</v>
      </c>
      <c r="B400" s="2">
        <v>46257</v>
      </c>
      <c r="C400" t="s">
        <v>56</v>
      </c>
      <c r="D400" t="s">
        <v>57</v>
      </c>
      <c r="E400" t="s">
        <v>58</v>
      </c>
      <c r="F400" t="s">
        <v>19</v>
      </c>
      <c r="G400">
        <v>4</v>
      </c>
      <c r="H400">
        <v>25494.34</v>
      </c>
      <c r="I400">
        <v>0.05</v>
      </c>
      <c r="J400">
        <v>101977.36</v>
      </c>
      <c r="K400">
        <v>5098.87</v>
      </c>
      <c r="L400">
        <v>0.1</v>
      </c>
      <c r="M400">
        <v>9687.85</v>
      </c>
      <c r="N400">
        <v>106566.34</v>
      </c>
      <c r="O400" t="s">
        <v>25</v>
      </c>
    </row>
    <row r="401" spans="1:15" x14ac:dyDescent="0.35">
      <c r="A401" t="s">
        <v>454</v>
      </c>
      <c r="B401" s="2">
        <v>46252</v>
      </c>
      <c r="C401" t="s">
        <v>60</v>
      </c>
      <c r="D401" t="s">
        <v>61</v>
      </c>
      <c r="E401" t="s">
        <v>62</v>
      </c>
      <c r="F401" t="s">
        <v>19</v>
      </c>
      <c r="G401">
        <v>5</v>
      </c>
      <c r="H401">
        <v>231477.58</v>
      </c>
      <c r="I401">
        <v>0.05</v>
      </c>
      <c r="J401">
        <v>1157387.8999999999</v>
      </c>
      <c r="K401">
        <v>57869.4</v>
      </c>
      <c r="L401">
        <v>0.1</v>
      </c>
      <c r="M401">
        <v>109951.85</v>
      </c>
      <c r="N401">
        <v>1209470.3500000001</v>
      </c>
      <c r="O401" t="s">
        <v>35</v>
      </c>
    </row>
    <row r="402" spans="1:15" x14ac:dyDescent="0.35">
      <c r="A402" t="s">
        <v>455</v>
      </c>
      <c r="B402" s="2">
        <v>46092</v>
      </c>
      <c r="C402" t="s">
        <v>16</v>
      </c>
      <c r="D402" t="s">
        <v>17</v>
      </c>
      <c r="E402" t="s">
        <v>18</v>
      </c>
      <c r="F402" t="s">
        <v>19</v>
      </c>
      <c r="G402">
        <v>4</v>
      </c>
      <c r="H402">
        <v>629525.35</v>
      </c>
      <c r="I402">
        <v>0.05</v>
      </c>
      <c r="J402">
        <v>2518101.4</v>
      </c>
      <c r="K402">
        <v>125905.07</v>
      </c>
      <c r="L402">
        <v>7.4999999999999997E-2</v>
      </c>
      <c r="M402">
        <v>179414.72</v>
      </c>
      <c r="N402">
        <v>2571611.0499999998</v>
      </c>
      <c r="O402" t="s">
        <v>35</v>
      </c>
    </row>
    <row r="403" spans="1:15" x14ac:dyDescent="0.35">
      <c r="A403" t="s">
        <v>456</v>
      </c>
      <c r="B403" s="2">
        <v>46101</v>
      </c>
      <c r="C403" t="s">
        <v>22</v>
      </c>
      <c r="D403" t="s">
        <v>23</v>
      </c>
      <c r="E403" t="s">
        <v>24</v>
      </c>
      <c r="F403" t="s">
        <v>19</v>
      </c>
      <c r="G403">
        <v>2</v>
      </c>
      <c r="H403">
        <v>19258.439999999999</v>
      </c>
      <c r="I403">
        <v>0</v>
      </c>
      <c r="J403">
        <v>38516.879999999997</v>
      </c>
      <c r="K403">
        <v>0</v>
      </c>
      <c r="L403">
        <v>7.4999999999999997E-2</v>
      </c>
      <c r="M403">
        <v>2888.77</v>
      </c>
      <c r="N403">
        <v>41405.65</v>
      </c>
      <c r="O403" t="s">
        <v>20</v>
      </c>
    </row>
    <row r="404" spans="1:15" x14ac:dyDescent="0.35">
      <c r="A404" t="s">
        <v>457</v>
      </c>
      <c r="B404" s="2">
        <v>46081</v>
      </c>
      <c r="C404" t="s">
        <v>27</v>
      </c>
      <c r="D404" t="s">
        <v>28</v>
      </c>
      <c r="E404" t="s">
        <v>29</v>
      </c>
      <c r="F404" t="s">
        <v>30</v>
      </c>
      <c r="G404">
        <v>6</v>
      </c>
      <c r="H404">
        <v>94197.48</v>
      </c>
      <c r="I404">
        <v>0.15</v>
      </c>
      <c r="J404">
        <v>565184.88</v>
      </c>
      <c r="K404">
        <v>84777.73</v>
      </c>
      <c r="L404">
        <v>0.1</v>
      </c>
      <c r="M404">
        <v>48040.72</v>
      </c>
      <c r="N404">
        <v>528447.87</v>
      </c>
      <c r="O404" t="s">
        <v>35</v>
      </c>
    </row>
    <row r="405" spans="1:15" x14ac:dyDescent="0.35">
      <c r="A405" t="s">
        <v>458</v>
      </c>
      <c r="B405" s="2">
        <v>46127</v>
      </c>
      <c r="C405" t="s">
        <v>32</v>
      </c>
      <c r="D405" t="s">
        <v>33</v>
      </c>
      <c r="E405" t="s">
        <v>34</v>
      </c>
      <c r="F405" t="s">
        <v>30</v>
      </c>
      <c r="G405">
        <v>6</v>
      </c>
      <c r="H405">
        <v>11994.17</v>
      </c>
      <c r="I405">
        <v>0.05</v>
      </c>
      <c r="J405">
        <v>71965.02</v>
      </c>
      <c r="K405">
        <v>3598.25</v>
      </c>
      <c r="L405">
        <v>0.1</v>
      </c>
      <c r="M405">
        <v>6836.68</v>
      </c>
      <c r="N405">
        <v>75203.45</v>
      </c>
      <c r="O405" t="s">
        <v>35</v>
      </c>
    </row>
    <row r="406" spans="1:15" x14ac:dyDescent="0.35">
      <c r="A406" t="s">
        <v>459</v>
      </c>
      <c r="B406" s="2">
        <v>46108</v>
      </c>
      <c r="C406" t="s">
        <v>37</v>
      </c>
      <c r="D406" t="s">
        <v>38</v>
      </c>
      <c r="E406" t="s">
        <v>39</v>
      </c>
      <c r="F406" t="s">
        <v>40</v>
      </c>
      <c r="G406">
        <v>4</v>
      </c>
      <c r="H406">
        <v>160334.29</v>
      </c>
      <c r="I406">
        <v>0.05</v>
      </c>
      <c r="J406">
        <v>641337.16</v>
      </c>
      <c r="K406">
        <v>32066.86</v>
      </c>
      <c r="L406">
        <v>0.1</v>
      </c>
      <c r="M406">
        <v>60927.03</v>
      </c>
      <c r="N406">
        <v>670197.32999999996</v>
      </c>
      <c r="O406" t="s">
        <v>20</v>
      </c>
    </row>
    <row r="407" spans="1:15" x14ac:dyDescent="0.35">
      <c r="A407" t="s">
        <v>460</v>
      </c>
      <c r="B407" s="2">
        <v>46160</v>
      </c>
      <c r="C407" t="s">
        <v>42</v>
      </c>
      <c r="D407" t="s">
        <v>43</v>
      </c>
      <c r="E407" t="s">
        <v>44</v>
      </c>
      <c r="F407" t="s">
        <v>45</v>
      </c>
      <c r="G407">
        <v>6</v>
      </c>
      <c r="H407">
        <v>90140.45</v>
      </c>
      <c r="I407">
        <v>0.05</v>
      </c>
      <c r="J407">
        <v>540842.69999999995</v>
      </c>
      <c r="K407">
        <v>27042.14</v>
      </c>
      <c r="L407">
        <v>0.1</v>
      </c>
      <c r="M407">
        <v>51380.06</v>
      </c>
      <c r="N407">
        <v>565180.62</v>
      </c>
      <c r="O407" t="s">
        <v>35</v>
      </c>
    </row>
    <row r="408" spans="1:15" x14ac:dyDescent="0.35">
      <c r="A408" t="s">
        <v>461</v>
      </c>
      <c r="B408" s="2">
        <v>46175</v>
      </c>
      <c r="C408" t="s">
        <v>47</v>
      </c>
      <c r="D408" t="s">
        <v>48</v>
      </c>
      <c r="E408" t="s">
        <v>49</v>
      </c>
      <c r="F408" t="s">
        <v>50</v>
      </c>
      <c r="G408">
        <v>7</v>
      </c>
      <c r="H408">
        <v>116249.84</v>
      </c>
      <c r="I408">
        <v>0</v>
      </c>
      <c r="J408">
        <v>813748.88</v>
      </c>
      <c r="K408">
        <v>0</v>
      </c>
      <c r="L408">
        <v>7.4999999999999997E-2</v>
      </c>
      <c r="M408">
        <v>61031.17</v>
      </c>
      <c r="N408">
        <v>874780.05</v>
      </c>
      <c r="O408" t="s">
        <v>35</v>
      </c>
    </row>
    <row r="409" spans="1:15" x14ac:dyDescent="0.35">
      <c r="A409" t="s">
        <v>462</v>
      </c>
      <c r="B409" s="2">
        <v>46046</v>
      </c>
      <c r="C409" t="s">
        <v>52</v>
      </c>
      <c r="D409" t="s">
        <v>53</v>
      </c>
      <c r="E409" t="s">
        <v>54</v>
      </c>
      <c r="F409" t="s">
        <v>50</v>
      </c>
      <c r="G409">
        <v>3</v>
      </c>
      <c r="H409">
        <v>103119.22</v>
      </c>
      <c r="I409">
        <v>0.05</v>
      </c>
      <c r="J409">
        <v>309357.65999999997</v>
      </c>
      <c r="K409">
        <v>15467.88</v>
      </c>
      <c r="L409">
        <v>0.1</v>
      </c>
      <c r="M409">
        <v>29388.98</v>
      </c>
      <c r="N409">
        <v>323278.76</v>
      </c>
      <c r="O409" t="s">
        <v>20</v>
      </c>
    </row>
    <row r="410" spans="1:15" x14ac:dyDescent="0.35">
      <c r="A410" t="s">
        <v>463</v>
      </c>
      <c r="B410" s="2">
        <v>46080</v>
      </c>
      <c r="C410" t="s">
        <v>56</v>
      </c>
      <c r="D410" t="s">
        <v>57</v>
      </c>
      <c r="E410" t="s">
        <v>58</v>
      </c>
      <c r="F410" t="s">
        <v>19</v>
      </c>
      <c r="G410">
        <v>2</v>
      </c>
      <c r="H410">
        <v>26289.919999999998</v>
      </c>
      <c r="I410">
        <v>0</v>
      </c>
      <c r="J410">
        <v>52579.839999999997</v>
      </c>
      <c r="K410">
        <v>0</v>
      </c>
      <c r="L410">
        <v>7.4999999999999997E-2</v>
      </c>
      <c r="M410">
        <v>3943.49</v>
      </c>
      <c r="N410">
        <v>56523.33</v>
      </c>
      <c r="O410" t="s">
        <v>35</v>
      </c>
    </row>
    <row r="411" spans="1:15" x14ac:dyDescent="0.35">
      <c r="A411" t="s">
        <v>464</v>
      </c>
      <c r="B411" s="2">
        <v>46080</v>
      </c>
      <c r="C411" t="s">
        <v>60</v>
      </c>
      <c r="D411" t="s">
        <v>61</v>
      </c>
      <c r="E411" t="s">
        <v>62</v>
      </c>
      <c r="F411" t="s">
        <v>19</v>
      </c>
      <c r="G411">
        <v>7</v>
      </c>
      <c r="H411">
        <v>219544.58</v>
      </c>
      <c r="I411">
        <v>0.05</v>
      </c>
      <c r="J411">
        <v>1536812.06</v>
      </c>
      <c r="K411">
        <v>76840.600000000006</v>
      </c>
      <c r="L411">
        <v>0.1</v>
      </c>
      <c r="M411">
        <v>145997.15</v>
      </c>
      <c r="N411">
        <v>1605968.61</v>
      </c>
      <c r="O411" t="s">
        <v>20</v>
      </c>
    </row>
    <row r="412" spans="1:15" x14ac:dyDescent="0.35">
      <c r="A412" t="s">
        <v>465</v>
      </c>
      <c r="B412" s="2">
        <v>46051</v>
      </c>
      <c r="C412" t="s">
        <v>16</v>
      </c>
      <c r="D412" t="s">
        <v>17</v>
      </c>
      <c r="E412" t="s">
        <v>18</v>
      </c>
      <c r="F412" t="s">
        <v>19</v>
      </c>
      <c r="G412">
        <v>4</v>
      </c>
      <c r="H412">
        <v>650266.87</v>
      </c>
      <c r="I412">
        <v>0</v>
      </c>
      <c r="J412">
        <v>2601067.48</v>
      </c>
      <c r="K412">
        <v>0</v>
      </c>
      <c r="L412">
        <v>0.1</v>
      </c>
      <c r="M412">
        <v>260106.75</v>
      </c>
      <c r="N412">
        <v>2861174.23</v>
      </c>
      <c r="O412" t="s">
        <v>20</v>
      </c>
    </row>
    <row r="413" spans="1:15" x14ac:dyDescent="0.35">
      <c r="A413" t="s">
        <v>466</v>
      </c>
      <c r="B413" s="2">
        <v>46051</v>
      </c>
      <c r="C413" t="s">
        <v>22</v>
      </c>
      <c r="D413" t="s">
        <v>23</v>
      </c>
      <c r="E413" t="s">
        <v>24</v>
      </c>
      <c r="F413" t="s">
        <v>19</v>
      </c>
      <c r="G413">
        <v>2</v>
      </c>
      <c r="H413">
        <v>16756.34</v>
      </c>
      <c r="I413">
        <v>0.05</v>
      </c>
      <c r="J413">
        <v>33512.68</v>
      </c>
      <c r="K413">
        <v>1675.63</v>
      </c>
      <c r="L413">
        <v>0.1</v>
      </c>
      <c r="M413">
        <v>3183.7</v>
      </c>
      <c r="N413">
        <v>35020.75</v>
      </c>
      <c r="O413" t="s">
        <v>35</v>
      </c>
    </row>
    <row r="414" spans="1:15" x14ac:dyDescent="0.35">
      <c r="A414" t="s">
        <v>467</v>
      </c>
      <c r="B414" s="2">
        <v>46122</v>
      </c>
      <c r="C414" t="s">
        <v>27</v>
      </c>
      <c r="D414" t="s">
        <v>28</v>
      </c>
      <c r="E414" t="s">
        <v>29</v>
      </c>
      <c r="F414" t="s">
        <v>30</v>
      </c>
      <c r="G414">
        <v>5</v>
      </c>
      <c r="H414">
        <v>95752.85</v>
      </c>
      <c r="I414">
        <v>0.15</v>
      </c>
      <c r="J414">
        <v>478764.25</v>
      </c>
      <c r="K414">
        <v>71814.64</v>
      </c>
      <c r="L414">
        <v>0.1</v>
      </c>
      <c r="M414">
        <v>40694.959999999999</v>
      </c>
      <c r="N414">
        <v>447644.57</v>
      </c>
      <c r="O414" t="s">
        <v>20</v>
      </c>
    </row>
    <row r="415" spans="1:15" x14ac:dyDescent="0.35">
      <c r="A415" t="s">
        <v>468</v>
      </c>
      <c r="B415" s="2">
        <v>46086</v>
      </c>
      <c r="C415" t="s">
        <v>32</v>
      </c>
      <c r="D415" t="s">
        <v>33</v>
      </c>
      <c r="E415" t="s">
        <v>34</v>
      </c>
      <c r="F415" t="s">
        <v>30</v>
      </c>
      <c r="G415">
        <v>7</v>
      </c>
      <c r="H415">
        <v>12011.79</v>
      </c>
      <c r="I415">
        <v>0.05</v>
      </c>
      <c r="J415">
        <v>84082.53</v>
      </c>
      <c r="K415">
        <v>4204.13</v>
      </c>
      <c r="L415">
        <v>7.4999999999999997E-2</v>
      </c>
      <c r="M415">
        <v>5990.88</v>
      </c>
      <c r="N415">
        <v>85869.28</v>
      </c>
      <c r="O415" t="s">
        <v>25</v>
      </c>
    </row>
    <row r="416" spans="1:15" x14ac:dyDescent="0.35">
      <c r="A416" t="s">
        <v>469</v>
      </c>
      <c r="B416" s="2">
        <v>46177</v>
      </c>
      <c r="C416" t="s">
        <v>37</v>
      </c>
      <c r="D416" t="s">
        <v>38</v>
      </c>
      <c r="E416" t="s">
        <v>39</v>
      </c>
      <c r="F416" t="s">
        <v>40</v>
      </c>
      <c r="G416">
        <v>5</v>
      </c>
      <c r="H416">
        <v>138424.51</v>
      </c>
      <c r="I416">
        <v>0.05</v>
      </c>
      <c r="J416">
        <v>692122.55</v>
      </c>
      <c r="K416">
        <v>34606.129999999997</v>
      </c>
      <c r="L416">
        <v>0.1</v>
      </c>
      <c r="M416">
        <v>65751.64</v>
      </c>
      <c r="N416">
        <v>723268.06</v>
      </c>
      <c r="O416" t="s">
        <v>35</v>
      </c>
    </row>
    <row r="417" spans="1:15" x14ac:dyDescent="0.35">
      <c r="A417" t="s">
        <v>470</v>
      </c>
      <c r="B417" s="2">
        <v>46115</v>
      </c>
      <c r="C417" t="s">
        <v>42</v>
      </c>
      <c r="D417" t="s">
        <v>43</v>
      </c>
      <c r="E417" t="s">
        <v>44</v>
      </c>
      <c r="F417" t="s">
        <v>45</v>
      </c>
      <c r="G417">
        <v>3</v>
      </c>
      <c r="H417">
        <v>85876.4</v>
      </c>
      <c r="I417">
        <v>0.05</v>
      </c>
      <c r="J417">
        <v>257629.2</v>
      </c>
      <c r="K417">
        <v>12881.46</v>
      </c>
      <c r="L417">
        <v>0.1</v>
      </c>
      <c r="M417">
        <v>24474.77</v>
      </c>
      <c r="N417">
        <v>269222.51</v>
      </c>
      <c r="O417" t="s">
        <v>35</v>
      </c>
    </row>
    <row r="418" spans="1:15" x14ac:dyDescent="0.35">
      <c r="A418" t="s">
        <v>471</v>
      </c>
      <c r="B418" s="2">
        <v>46233</v>
      </c>
      <c r="C418" t="s">
        <v>47</v>
      </c>
      <c r="D418" t="s">
        <v>48</v>
      </c>
      <c r="E418" t="s">
        <v>49</v>
      </c>
      <c r="F418" t="s">
        <v>50</v>
      </c>
      <c r="G418">
        <v>3</v>
      </c>
      <c r="H418">
        <v>124881.67</v>
      </c>
      <c r="I418">
        <v>0.1</v>
      </c>
      <c r="J418">
        <v>374645.01</v>
      </c>
      <c r="K418">
        <v>37464.5</v>
      </c>
      <c r="L418">
        <v>0.1</v>
      </c>
      <c r="M418">
        <v>33718.050000000003</v>
      </c>
      <c r="N418">
        <v>370898.56</v>
      </c>
      <c r="O418" t="s">
        <v>25</v>
      </c>
    </row>
    <row r="419" spans="1:15" x14ac:dyDescent="0.35">
      <c r="A419" t="s">
        <v>472</v>
      </c>
      <c r="B419" s="2">
        <v>46182</v>
      </c>
      <c r="C419" t="s">
        <v>52</v>
      </c>
      <c r="D419" t="s">
        <v>53</v>
      </c>
      <c r="E419" t="s">
        <v>54</v>
      </c>
      <c r="F419" t="s">
        <v>50</v>
      </c>
      <c r="G419">
        <v>3</v>
      </c>
      <c r="H419">
        <v>94730.64</v>
      </c>
      <c r="I419">
        <v>0</v>
      </c>
      <c r="J419">
        <v>284191.92</v>
      </c>
      <c r="K419">
        <v>0</v>
      </c>
      <c r="L419">
        <v>7.4999999999999997E-2</v>
      </c>
      <c r="M419">
        <v>21314.39</v>
      </c>
      <c r="N419">
        <v>305506.31</v>
      </c>
      <c r="O419" t="s">
        <v>35</v>
      </c>
    </row>
    <row r="420" spans="1:15" x14ac:dyDescent="0.35">
      <c r="A420" t="s">
        <v>473</v>
      </c>
      <c r="B420" s="2">
        <v>46123</v>
      </c>
      <c r="C420" t="s">
        <v>56</v>
      </c>
      <c r="D420" t="s">
        <v>57</v>
      </c>
      <c r="E420" t="s">
        <v>58</v>
      </c>
      <c r="F420" t="s">
        <v>19</v>
      </c>
      <c r="G420">
        <v>3</v>
      </c>
      <c r="H420">
        <v>23711.07</v>
      </c>
      <c r="I420">
        <v>0.15</v>
      </c>
      <c r="J420">
        <v>71133.210000000006</v>
      </c>
      <c r="K420">
        <v>10669.98</v>
      </c>
      <c r="L420">
        <v>0.1</v>
      </c>
      <c r="M420">
        <v>6046.32</v>
      </c>
      <c r="N420">
        <v>66509.55</v>
      </c>
      <c r="O420" t="s">
        <v>35</v>
      </c>
    </row>
    <row r="421" spans="1:15" x14ac:dyDescent="0.35">
      <c r="A421" t="s">
        <v>474</v>
      </c>
      <c r="B421" s="2">
        <v>46150</v>
      </c>
      <c r="C421" t="s">
        <v>60</v>
      </c>
      <c r="D421" t="s">
        <v>61</v>
      </c>
      <c r="E421" t="s">
        <v>62</v>
      </c>
      <c r="F421" t="s">
        <v>19</v>
      </c>
      <c r="G421">
        <v>7</v>
      </c>
      <c r="H421">
        <v>210457.09</v>
      </c>
      <c r="I421">
        <v>0</v>
      </c>
      <c r="J421">
        <v>1473199.63</v>
      </c>
      <c r="K421">
        <v>0</v>
      </c>
      <c r="L421">
        <v>7.4999999999999997E-2</v>
      </c>
      <c r="M421">
        <v>110489.97</v>
      </c>
      <c r="N421">
        <v>1583689.6</v>
      </c>
      <c r="O421" t="s">
        <v>35</v>
      </c>
    </row>
    <row r="422" spans="1:15" x14ac:dyDescent="0.35">
      <c r="A422" t="s">
        <v>475</v>
      </c>
      <c r="B422" s="2">
        <v>46204</v>
      </c>
      <c r="C422" t="s">
        <v>16</v>
      </c>
      <c r="D422" t="s">
        <v>17</v>
      </c>
      <c r="E422" t="s">
        <v>18</v>
      </c>
      <c r="F422" t="s">
        <v>19</v>
      </c>
      <c r="G422">
        <v>4</v>
      </c>
      <c r="H422">
        <v>666195.26</v>
      </c>
      <c r="I422">
        <v>0.05</v>
      </c>
      <c r="J422">
        <v>2664781.04</v>
      </c>
      <c r="K422">
        <v>133239.04999999999</v>
      </c>
      <c r="L422">
        <v>7.4999999999999997E-2</v>
      </c>
      <c r="M422">
        <v>189865.65</v>
      </c>
      <c r="N422">
        <v>2721407.64</v>
      </c>
      <c r="O422" t="s">
        <v>35</v>
      </c>
    </row>
    <row r="423" spans="1:15" x14ac:dyDescent="0.35">
      <c r="A423" t="s">
        <v>476</v>
      </c>
      <c r="B423" s="2">
        <v>46253</v>
      </c>
      <c r="C423" t="s">
        <v>22</v>
      </c>
      <c r="D423" t="s">
        <v>23</v>
      </c>
      <c r="E423" t="s">
        <v>24</v>
      </c>
      <c r="F423" t="s">
        <v>19</v>
      </c>
      <c r="G423">
        <v>4</v>
      </c>
      <c r="H423">
        <v>17725.82</v>
      </c>
      <c r="I423">
        <v>0.15</v>
      </c>
      <c r="J423">
        <v>70903.28</v>
      </c>
      <c r="K423">
        <v>10635.49</v>
      </c>
      <c r="L423">
        <v>7.4999999999999997E-2</v>
      </c>
      <c r="M423">
        <v>4520.08</v>
      </c>
      <c r="N423">
        <v>64787.87</v>
      </c>
      <c r="O423" t="s">
        <v>35</v>
      </c>
    </row>
    <row r="424" spans="1:15" x14ac:dyDescent="0.35">
      <c r="A424" t="s">
        <v>477</v>
      </c>
      <c r="B424" s="2">
        <v>46112</v>
      </c>
      <c r="C424" t="s">
        <v>27</v>
      </c>
      <c r="D424" t="s">
        <v>28</v>
      </c>
      <c r="E424" t="s">
        <v>29</v>
      </c>
      <c r="F424" t="s">
        <v>30</v>
      </c>
      <c r="G424">
        <v>4</v>
      </c>
      <c r="H424">
        <v>94720.85</v>
      </c>
      <c r="I424">
        <v>0.1</v>
      </c>
      <c r="J424">
        <v>378883.4</v>
      </c>
      <c r="K424">
        <v>37888.339999999997</v>
      </c>
      <c r="L424">
        <v>7.4999999999999997E-2</v>
      </c>
      <c r="M424">
        <v>25574.63</v>
      </c>
      <c r="N424">
        <v>366569.69</v>
      </c>
      <c r="O424" t="s">
        <v>25</v>
      </c>
    </row>
    <row r="425" spans="1:15" x14ac:dyDescent="0.35">
      <c r="A425" t="s">
        <v>478</v>
      </c>
      <c r="B425" s="2">
        <v>46256</v>
      </c>
      <c r="C425" t="s">
        <v>32</v>
      </c>
      <c r="D425" t="s">
        <v>33</v>
      </c>
      <c r="E425" t="s">
        <v>34</v>
      </c>
      <c r="F425" t="s">
        <v>30</v>
      </c>
      <c r="G425">
        <v>7</v>
      </c>
      <c r="H425">
        <v>11839.02</v>
      </c>
      <c r="I425">
        <v>0.1</v>
      </c>
      <c r="J425">
        <v>82873.14</v>
      </c>
      <c r="K425">
        <v>8287.31</v>
      </c>
      <c r="L425">
        <v>7.4999999999999997E-2</v>
      </c>
      <c r="M425">
        <v>5593.94</v>
      </c>
      <c r="N425">
        <v>80179.77</v>
      </c>
      <c r="O425" t="s">
        <v>35</v>
      </c>
    </row>
    <row r="426" spans="1:15" x14ac:dyDescent="0.35">
      <c r="A426" t="s">
        <v>479</v>
      </c>
      <c r="B426" s="2">
        <v>46159</v>
      </c>
      <c r="C426" t="s">
        <v>37</v>
      </c>
      <c r="D426" t="s">
        <v>38</v>
      </c>
      <c r="E426" t="s">
        <v>39</v>
      </c>
      <c r="F426" t="s">
        <v>40</v>
      </c>
      <c r="G426">
        <v>2</v>
      </c>
      <c r="H426">
        <v>154343.4</v>
      </c>
      <c r="I426">
        <v>0.15</v>
      </c>
      <c r="J426">
        <v>308686.8</v>
      </c>
      <c r="K426">
        <v>46303.02</v>
      </c>
      <c r="L426">
        <v>7.4999999999999997E-2</v>
      </c>
      <c r="M426">
        <v>19678.78</v>
      </c>
      <c r="N426">
        <v>282062.56</v>
      </c>
      <c r="O426" t="s">
        <v>35</v>
      </c>
    </row>
    <row r="427" spans="1:15" x14ac:dyDescent="0.35">
      <c r="A427" t="s">
        <v>480</v>
      </c>
      <c r="B427" s="2">
        <v>46207</v>
      </c>
      <c r="C427" t="s">
        <v>42</v>
      </c>
      <c r="D427" t="s">
        <v>43</v>
      </c>
      <c r="E427" t="s">
        <v>44</v>
      </c>
      <c r="F427" t="s">
        <v>45</v>
      </c>
      <c r="G427">
        <v>5</v>
      </c>
      <c r="H427">
        <v>89546.53</v>
      </c>
      <c r="I427">
        <v>0</v>
      </c>
      <c r="J427">
        <v>447732.65</v>
      </c>
      <c r="K427">
        <v>0</v>
      </c>
      <c r="L427">
        <v>7.4999999999999997E-2</v>
      </c>
      <c r="M427">
        <v>33579.949999999997</v>
      </c>
      <c r="N427">
        <v>481312.6</v>
      </c>
      <c r="O427" t="s">
        <v>20</v>
      </c>
    </row>
    <row r="428" spans="1:15" x14ac:dyDescent="0.35">
      <c r="A428" t="s">
        <v>481</v>
      </c>
      <c r="B428" s="2">
        <v>46214</v>
      </c>
      <c r="C428" t="s">
        <v>47</v>
      </c>
      <c r="D428" t="s">
        <v>48</v>
      </c>
      <c r="E428" t="s">
        <v>49</v>
      </c>
      <c r="F428" t="s">
        <v>50</v>
      </c>
      <c r="G428">
        <v>5</v>
      </c>
      <c r="H428">
        <v>111218.56</v>
      </c>
      <c r="I428">
        <v>0</v>
      </c>
      <c r="J428">
        <v>556092.80000000005</v>
      </c>
      <c r="K428">
        <v>0</v>
      </c>
      <c r="L428">
        <v>7.4999999999999997E-2</v>
      </c>
      <c r="M428">
        <v>41706.959999999999</v>
      </c>
      <c r="N428">
        <v>597799.76</v>
      </c>
      <c r="O428" t="s">
        <v>20</v>
      </c>
    </row>
    <row r="429" spans="1:15" x14ac:dyDescent="0.35">
      <c r="A429" t="s">
        <v>482</v>
      </c>
      <c r="B429" s="2">
        <v>46052</v>
      </c>
      <c r="C429" t="s">
        <v>52</v>
      </c>
      <c r="D429" t="s">
        <v>53</v>
      </c>
      <c r="E429" t="s">
        <v>54</v>
      </c>
      <c r="F429" t="s">
        <v>50</v>
      </c>
      <c r="G429">
        <v>5</v>
      </c>
      <c r="H429">
        <v>105509.71</v>
      </c>
      <c r="I429">
        <v>0.1</v>
      </c>
      <c r="J429">
        <v>527548.55000000005</v>
      </c>
      <c r="K429">
        <v>52754.86</v>
      </c>
      <c r="L429">
        <v>7.4999999999999997E-2</v>
      </c>
      <c r="M429">
        <v>35609.53</v>
      </c>
      <c r="N429">
        <v>510403.22</v>
      </c>
      <c r="O429" t="s">
        <v>35</v>
      </c>
    </row>
    <row r="430" spans="1:15" x14ac:dyDescent="0.35">
      <c r="A430" t="s">
        <v>483</v>
      </c>
      <c r="B430" s="2">
        <v>46258</v>
      </c>
      <c r="C430" t="s">
        <v>56</v>
      </c>
      <c r="D430" t="s">
        <v>57</v>
      </c>
      <c r="E430" t="s">
        <v>58</v>
      </c>
      <c r="F430" t="s">
        <v>19</v>
      </c>
      <c r="G430">
        <v>2</v>
      </c>
      <c r="H430">
        <v>24298.7</v>
      </c>
      <c r="I430">
        <v>0.15</v>
      </c>
      <c r="J430">
        <v>48597.4</v>
      </c>
      <c r="K430">
        <v>7289.61</v>
      </c>
      <c r="L430">
        <v>0.1</v>
      </c>
      <c r="M430">
        <v>4130.78</v>
      </c>
      <c r="N430">
        <v>45438.57</v>
      </c>
      <c r="O430" t="s">
        <v>20</v>
      </c>
    </row>
    <row r="431" spans="1:15" x14ac:dyDescent="0.35">
      <c r="A431" t="s">
        <v>484</v>
      </c>
      <c r="B431" s="2">
        <v>46047</v>
      </c>
      <c r="C431" t="s">
        <v>60</v>
      </c>
      <c r="D431" t="s">
        <v>61</v>
      </c>
      <c r="E431" t="s">
        <v>62</v>
      </c>
      <c r="F431" t="s">
        <v>19</v>
      </c>
      <c r="G431">
        <v>5</v>
      </c>
      <c r="H431">
        <v>216285.57</v>
      </c>
      <c r="I431">
        <v>0.05</v>
      </c>
      <c r="J431">
        <v>1081427.8500000001</v>
      </c>
      <c r="K431">
        <v>54071.39</v>
      </c>
      <c r="L431">
        <v>0.1</v>
      </c>
      <c r="M431">
        <v>102735.65</v>
      </c>
      <c r="N431">
        <v>1130092.1100000001</v>
      </c>
      <c r="O431" t="s">
        <v>25</v>
      </c>
    </row>
    <row r="432" spans="1:15" x14ac:dyDescent="0.35">
      <c r="A432" t="s">
        <v>485</v>
      </c>
      <c r="B432" s="2">
        <v>46163</v>
      </c>
      <c r="C432" t="s">
        <v>16</v>
      </c>
      <c r="D432" t="s">
        <v>17</v>
      </c>
      <c r="E432" t="s">
        <v>18</v>
      </c>
      <c r="F432" t="s">
        <v>19</v>
      </c>
      <c r="G432">
        <v>1</v>
      </c>
      <c r="H432">
        <v>697354.81</v>
      </c>
      <c r="I432">
        <v>0</v>
      </c>
      <c r="J432">
        <v>697354.81</v>
      </c>
      <c r="K432">
        <v>0</v>
      </c>
      <c r="L432">
        <v>0.1</v>
      </c>
      <c r="M432">
        <v>69735.48</v>
      </c>
      <c r="N432">
        <v>767090.29</v>
      </c>
      <c r="O432" t="s">
        <v>25</v>
      </c>
    </row>
    <row r="433" spans="1:15" x14ac:dyDescent="0.35">
      <c r="A433" t="s">
        <v>486</v>
      </c>
      <c r="B433" s="2">
        <v>46036</v>
      </c>
      <c r="C433" t="s">
        <v>22</v>
      </c>
      <c r="D433" t="s">
        <v>23</v>
      </c>
      <c r="E433" t="s">
        <v>24</v>
      </c>
      <c r="F433" t="s">
        <v>19</v>
      </c>
      <c r="G433">
        <v>2</v>
      </c>
      <c r="H433">
        <v>17820.3</v>
      </c>
      <c r="I433">
        <v>0</v>
      </c>
      <c r="J433">
        <v>35640.6</v>
      </c>
      <c r="K433">
        <v>0</v>
      </c>
      <c r="L433">
        <v>7.4999999999999997E-2</v>
      </c>
      <c r="M433">
        <v>2673.04</v>
      </c>
      <c r="N433">
        <v>38313.64</v>
      </c>
      <c r="O433" t="s">
        <v>25</v>
      </c>
    </row>
    <row r="434" spans="1:15" x14ac:dyDescent="0.35">
      <c r="A434" t="s">
        <v>487</v>
      </c>
      <c r="B434" s="2">
        <v>46060</v>
      </c>
      <c r="C434" t="s">
        <v>27</v>
      </c>
      <c r="D434" t="s">
        <v>28</v>
      </c>
      <c r="E434" t="s">
        <v>29</v>
      </c>
      <c r="F434" t="s">
        <v>30</v>
      </c>
      <c r="G434">
        <v>4</v>
      </c>
      <c r="H434">
        <v>99273.79</v>
      </c>
      <c r="I434">
        <v>0.15</v>
      </c>
      <c r="J434">
        <v>397095.16</v>
      </c>
      <c r="K434">
        <v>59564.27</v>
      </c>
      <c r="L434">
        <v>7.4999999999999997E-2</v>
      </c>
      <c r="M434">
        <v>25314.82</v>
      </c>
      <c r="N434">
        <v>362845.71</v>
      </c>
      <c r="O434" t="s">
        <v>35</v>
      </c>
    </row>
    <row r="435" spans="1:15" x14ac:dyDescent="0.35">
      <c r="A435" t="s">
        <v>488</v>
      </c>
      <c r="B435" s="2">
        <v>46214</v>
      </c>
      <c r="C435" t="s">
        <v>32</v>
      </c>
      <c r="D435" t="s">
        <v>33</v>
      </c>
      <c r="E435" t="s">
        <v>34</v>
      </c>
      <c r="F435" t="s">
        <v>30</v>
      </c>
      <c r="G435">
        <v>6</v>
      </c>
      <c r="H435">
        <v>12262.41</v>
      </c>
      <c r="I435">
        <v>0.1</v>
      </c>
      <c r="J435">
        <v>73574.460000000006</v>
      </c>
      <c r="K435">
        <v>7357.45</v>
      </c>
      <c r="L435">
        <v>7.4999999999999997E-2</v>
      </c>
      <c r="M435">
        <v>4966.28</v>
      </c>
      <c r="N435">
        <v>71183.289999999994</v>
      </c>
      <c r="O435" t="s">
        <v>35</v>
      </c>
    </row>
    <row r="436" spans="1:15" x14ac:dyDescent="0.35">
      <c r="A436" t="s">
        <v>489</v>
      </c>
      <c r="B436" s="2">
        <v>46219</v>
      </c>
      <c r="D436" t="s">
        <v>38</v>
      </c>
      <c r="E436" t="s">
        <v>39</v>
      </c>
      <c r="F436" t="s">
        <v>40</v>
      </c>
      <c r="G436">
        <v>5</v>
      </c>
      <c r="H436">
        <v>141604.06</v>
      </c>
      <c r="I436">
        <v>0.15</v>
      </c>
      <c r="J436">
        <v>708020.3</v>
      </c>
      <c r="K436">
        <v>106203.04</v>
      </c>
      <c r="L436">
        <v>0.1</v>
      </c>
      <c r="M436">
        <v>60181.73</v>
      </c>
      <c r="N436">
        <v>661998.99</v>
      </c>
      <c r="O436" t="s">
        <v>35</v>
      </c>
    </row>
    <row r="437" spans="1:15" x14ac:dyDescent="0.35">
      <c r="A437" t="s">
        <v>490</v>
      </c>
      <c r="B437" s="2">
        <v>46155</v>
      </c>
      <c r="C437" t="s">
        <v>42</v>
      </c>
      <c r="D437" t="s">
        <v>43</v>
      </c>
      <c r="E437" t="s">
        <v>44</v>
      </c>
      <c r="F437" t="s">
        <v>45</v>
      </c>
      <c r="G437">
        <v>5</v>
      </c>
      <c r="H437">
        <v>78717.100000000006</v>
      </c>
      <c r="I437">
        <v>0.1</v>
      </c>
      <c r="J437">
        <v>393585.5</v>
      </c>
      <c r="K437">
        <v>39358.550000000003</v>
      </c>
      <c r="L437">
        <v>7.4999999999999997E-2</v>
      </c>
      <c r="M437">
        <v>26567.02</v>
      </c>
      <c r="N437">
        <v>380793.97</v>
      </c>
      <c r="O437" t="s">
        <v>35</v>
      </c>
    </row>
    <row r="438" spans="1:15" x14ac:dyDescent="0.35">
      <c r="A438" t="s">
        <v>491</v>
      </c>
      <c r="B438" s="2">
        <v>46047</v>
      </c>
      <c r="C438" t="s">
        <v>47</v>
      </c>
      <c r="D438" t="s">
        <v>48</v>
      </c>
      <c r="E438" t="s">
        <v>49</v>
      </c>
      <c r="F438" t="s">
        <v>50</v>
      </c>
      <c r="G438">
        <v>3</v>
      </c>
      <c r="H438">
        <v>110632.48</v>
      </c>
      <c r="I438">
        <v>0</v>
      </c>
      <c r="J438">
        <v>331897.44</v>
      </c>
      <c r="K438">
        <v>0</v>
      </c>
      <c r="L438">
        <v>0.1</v>
      </c>
      <c r="M438">
        <v>33189.74</v>
      </c>
      <c r="N438">
        <v>365087.18</v>
      </c>
      <c r="O438" t="s">
        <v>35</v>
      </c>
    </row>
    <row r="439" spans="1:15" x14ac:dyDescent="0.35">
      <c r="A439" t="s">
        <v>492</v>
      </c>
      <c r="B439" s="2">
        <v>46169</v>
      </c>
      <c r="C439" t="s">
        <v>52</v>
      </c>
      <c r="D439" t="s">
        <v>53</v>
      </c>
      <c r="E439" t="s">
        <v>54</v>
      </c>
      <c r="F439" t="s">
        <v>50</v>
      </c>
      <c r="G439">
        <v>7</v>
      </c>
      <c r="H439">
        <v>96744.57</v>
      </c>
      <c r="I439">
        <v>0.1</v>
      </c>
      <c r="J439">
        <v>677211.99</v>
      </c>
      <c r="K439">
        <v>67721.2</v>
      </c>
      <c r="L439">
        <v>0.1</v>
      </c>
      <c r="M439">
        <v>60949.08</v>
      </c>
      <c r="N439">
        <v>670439.87</v>
      </c>
      <c r="O439" t="s">
        <v>25</v>
      </c>
    </row>
    <row r="440" spans="1:15" x14ac:dyDescent="0.35">
      <c r="A440" t="s">
        <v>493</v>
      </c>
      <c r="B440" s="2">
        <v>46031</v>
      </c>
      <c r="C440" t="s">
        <v>56</v>
      </c>
      <c r="D440" t="s">
        <v>57</v>
      </c>
      <c r="E440" t="s">
        <v>58</v>
      </c>
      <c r="F440" t="s">
        <v>19</v>
      </c>
      <c r="G440">
        <v>3</v>
      </c>
      <c r="H440">
        <v>23740.78</v>
      </c>
      <c r="I440">
        <v>0.1</v>
      </c>
      <c r="J440">
        <v>71222.34</v>
      </c>
      <c r="K440">
        <v>7122.23</v>
      </c>
      <c r="L440">
        <v>0.1</v>
      </c>
      <c r="M440">
        <v>6410.01</v>
      </c>
      <c r="N440">
        <v>70510.12</v>
      </c>
      <c r="O440" t="s">
        <v>35</v>
      </c>
    </row>
    <row r="441" spans="1:15" x14ac:dyDescent="0.35">
      <c r="A441" t="s">
        <v>494</v>
      </c>
      <c r="B441" s="2">
        <v>46064</v>
      </c>
      <c r="C441" t="s">
        <v>60</v>
      </c>
      <c r="D441" t="s">
        <v>61</v>
      </c>
      <c r="E441" t="s">
        <v>62</v>
      </c>
      <c r="F441" t="s">
        <v>19</v>
      </c>
      <c r="G441">
        <v>6</v>
      </c>
      <c r="H441">
        <v>229305.92</v>
      </c>
      <c r="I441">
        <v>0.15</v>
      </c>
      <c r="J441">
        <v>1375835.52</v>
      </c>
      <c r="K441">
        <v>206375.33</v>
      </c>
      <c r="L441">
        <v>0.1</v>
      </c>
      <c r="M441">
        <v>116946.02</v>
      </c>
      <c r="N441">
        <v>1286406.21</v>
      </c>
      <c r="O441" t="s">
        <v>35</v>
      </c>
    </row>
    <row r="442" spans="1:15" x14ac:dyDescent="0.35">
      <c r="A442" t="s">
        <v>495</v>
      </c>
      <c r="B442" s="2">
        <v>46130</v>
      </c>
      <c r="C442" t="s">
        <v>16</v>
      </c>
      <c r="D442" t="s">
        <v>17</v>
      </c>
      <c r="E442" t="s">
        <v>18</v>
      </c>
      <c r="F442" t="s">
        <v>19</v>
      </c>
      <c r="G442">
        <v>4</v>
      </c>
      <c r="H442">
        <v>691485.69</v>
      </c>
      <c r="I442">
        <v>0.15</v>
      </c>
      <c r="J442">
        <v>2765942.76</v>
      </c>
      <c r="K442">
        <v>414891.41</v>
      </c>
      <c r="L442">
        <v>0.1</v>
      </c>
      <c r="M442">
        <v>235105.13</v>
      </c>
      <c r="N442">
        <v>2586156.48</v>
      </c>
      <c r="O442" t="s">
        <v>20</v>
      </c>
    </row>
    <row r="443" spans="1:15" x14ac:dyDescent="0.35">
      <c r="A443" t="s">
        <v>496</v>
      </c>
      <c r="B443" s="2">
        <v>46062</v>
      </c>
      <c r="C443" t="s">
        <v>22</v>
      </c>
      <c r="D443" t="s">
        <v>23</v>
      </c>
      <c r="E443" t="s">
        <v>24</v>
      </c>
      <c r="F443" t="s">
        <v>19</v>
      </c>
      <c r="G443">
        <v>2</v>
      </c>
      <c r="H443">
        <v>18481.97</v>
      </c>
      <c r="I443">
        <v>0.1</v>
      </c>
      <c r="J443">
        <v>36963.94</v>
      </c>
      <c r="K443">
        <v>3696.39</v>
      </c>
      <c r="L443">
        <v>7.4999999999999997E-2</v>
      </c>
      <c r="M443">
        <v>2495.0700000000002</v>
      </c>
      <c r="N443">
        <v>35762.620000000003</v>
      </c>
      <c r="O443" t="s">
        <v>20</v>
      </c>
    </row>
    <row r="444" spans="1:15" x14ac:dyDescent="0.35">
      <c r="A444" t="s">
        <v>497</v>
      </c>
      <c r="B444" s="2">
        <v>46145</v>
      </c>
      <c r="C444" t="s">
        <v>27</v>
      </c>
      <c r="D444" t="s">
        <v>28</v>
      </c>
      <c r="E444" t="s">
        <v>29</v>
      </c>
      <c r="F444" t="s">
        <v>30</v>
      </c>
      <c r="G444">
        <v>6</v>
      </c>
      <c r="H444">
        <v>88452.67</v>
      </c>
      <c r="I444">
        <v>0</v>
      </c>
      <c r="J444">
        <v>530716.02</v>
      </c>
      <c r="K444">
        <v>0</v>
      </c>
      <c r="L444">
        <v>0.1</v>
      </c>
      <c r="M444">
        <v>53071.6</v>
      </c>
      <c r="N444">
        <v>583787.62</v>
      </c>
      <c r="O444" t="s">
        <v>35</v>
      </c>
    </row>
    <row r="445" spans="1:15" x14ac:dyDescent="0.35">
      <c r="A445" t="s">
        <v>498</v>
      </c>
      <c r="B445" s="2">
        <v>46117</v>
      </c>
      <c r="C445" t="s">
        <v>32</v>
      </c>
      <c r="D445" t="s">
        <v>33</v>
      </c>
      <c r="E445" t="s">
        <v>34</v>
      </c>
      <c r="F445" t="s">
        <v>30</v>
      </c>
      <c r="G445">
        <v>2</v>
      </c>
      <c r="H445">
        <v>11658.65</v>
      </c>
      <c r="I445">
        <v>0.15</v>
      </c>
      <c r="J445">
        <v>23317.3</v>
      </c>
      <c r="K445">
        <v>3497.6</v>
      </c>
      <c r="L445">
        <v>0.1</v>
      </c>
      <c r="M445">
        <v>1981.97</v>
      </c>
      <c r="N445">
        <v>21801.67</v>
      </c>
      <c r="O445" t="s">
        <v>25</v>
      </c>
    </row>
    <row r="446" spans="1:15" x14ac:dyDescent="0.35">
      <c r="A446" t="s">
        <v>499</v>
      </c>
      <c r="B446" s="2">
        <v>46170</v>
      </c>
      <c r="C446" t="s">
        <v>37</v>
      </c>
      <c r="D446" t="s">
        <v>38</v>
      </c>
      <c r="E446" t="s">
        <v>39</v>
      </c>
      <c r="F446" t="s">
        <v>40</v>
      </c>
      <c r="G446">
        <v>6</v>
      </c>
      <c r="H446">
        <v>149664.37</v>
      </c>
      <c r="I446">
        <v>0.15</v>
      </c>
      <c r="J446">
        <v>897986.22</v>
      </c>
      <c r="K446">
        <v>134697.93</v>
      </c>
      <c r="L446">
        <v>7.4999999999999997E-2</v>
      </c>
      <c r="M446">
        <v>57246.62</v>
      </c>
      <c r="N446">
        <v>820534.91</v>
      </c>
      <c r="O446" t="s">
        <v>20</v>
      </c>
    </row>
    <row r="447" spans="1:15" x14ac:dyDescent="0.35">
      <c r="A447" t="s">
        <v>500</v>
      </c>
      <c r="B447" s="2">
        <v>46043</v>
      </c>
      <c r="C447" t="s">
        <v>42</v>
      </c>
      <c r="D447" t="s">
        <v>43</v>
      </c>
      <c r="E447" t="s">
        <v>44</v>
      </c>
      <c r="F447" t="s">
        <v>45</v>
      </c>
      <c r="G447">
        <v>4</v>
      </c>
      <c r="H447">
        <v>80330.28</v>
      </c>
      <c r="I447">
        <v>0.05</v>
      </c>
      <c r="J447">
        <v>321321.12</v>
      </c>
      <c r="K447">
        <v>16066.06</v>
      </c>
      <c r="L447">
        <v>7.4999999999999997E-2</v>
      </c>
      <c r="M447">
        <v>22894.13</v>
      </c>
      <c r="N447">
        <v>328149.19</v>
      </c>
      <c r="O447" t="s">
        <v>25</v>
      </c>
    </row>
    <row r="448" spans="1:15" x14ac:dyDescent="0.35">
      <c r="A448" t="s">
        <v>501</v>
      </c>
      <c r="B448" s="2">
        <v>46104</v>
      </c>
      <c r="C448" t="s">
        <v>47</v>
      </c>
      <c r="D448" t="s">
        <v>48</v>
      </c>
      <c r="E448" t="s">
        <v>49</v>
      </c>
      <c r="F448" t="s">
        <v>50</v>
      </c>
      <c r="G448">
        <v>7</v>
      </c>
      <c r="H448">
        <v>112224.22</v>
      </c>
      <c r="I448">
        <v>0.15</v>
      </c>
      <c r="J448">
        <v>785569.54</v>
      </c>
      <c r="K448">
        <v>117835.43</v>
      </c>
      <c r="L448">
        <v>7.4999999999999997E-2</v>
      </c>
      <c r="M448">
        <v>50080.06</v>
      </c>
      <c r="N448">
        <v>717814.17</v>
      </c>
      <c r="O448" t="s">
        <v>35</v>
      </c>
    </row>
    <row r="449" spans="1:15" x14ac:dyDescent="0.35">
      <c r="A449" t="s">
        <v>502</v>
      </c>
      <c r="B449" s="2">
        <v>46238</v>
      </c>
      <c r="C449" t="s">
        <v>52</v>
      </c>
      <c r="D449" t="s">
        <v>53</v>
      </c>
      <c r="E449" t="s">
        <v>54</v>
      </c>
      <c r="F449" t="s">
        <v>50</v>
      </c>
      <c r="G449">
        <v>1</v>
      </c>
      <c r="H449">
        <v>94618.94</v>
      </c>
      <c r="I449">
        <v>0.15</v>
      </c>
      <c r="J449">
        <v>94618.94</v>
      </c>
      <c r="K449">
        <v>14192.84</v>
      </c>
      <c r="L449">
        <v>0.1</v>
      </c>
      <c r="M449">
        <v>8042.61</v>
      </c>
      <c r="N449">
        <v>88468.71</v>
      </c>
      <c r="O449" t="s">
        <v>35</v>
      </c>
    </row>
    <row r="450" spans="1:15" x14ac:dyDescent="0.35">
      <c r="A450" t="s">
        <v>503</v>
      </c>
      <c r="B450" s="2">
        <v>46253</v>
      </c>
      <c r="C450" t="s">
        <v>56</v>
      </c>
      <c r="D450" t="s">
        <v>57</v>
      </c>
      <c r="E450" t="s">
        <v>58</v>
      </c>
      <c r="F450" t="s">
        <v>19</v>
      </c>
      <c r="G450">
        <v>3</v>
      </c>
      <c r="H450">
        <v>26547.7</v>
      </c>
      <c r="I450">
        <v>0.15</v>
      </c>
      <c r="J450">
        <v>79643.100000000006</v>
      </c>
      <c r="K450">
        <v>11946.46</v>
      </c>
      <c r="L450">
        <v>7.4999999999999997E-2</v>
      </c>
      <c r="M450">
        <v>5077.25</v>
      </c>
      <c r="N450">
        <v>72773.89</v>
      </c>
      <c r="O450" t="s">
        <v>20</v>
      </c>
    </row>
    <row r="451" spans="1:15" x14ac:dyDescent="0.35">
      <c r="A451" t="s">
        <v>504</v>
      </c>
      <c r="B451" s="2">
        <v>46259</v>
      </c>
      <c r="C451" t="s">
        <v>60</v>
      </c>
      <c r="D451" t="s">
        <v>61</v>
      </c>
      <c r="E451" t="s">
        <v>62</v>
      </c>
      <c r="F451" t="s">
        <v>19</v>
      </c>
      <c r="G451">
        <v>6</v>
      </c>
      <c r="H451">
        <v>232720.22</v>
      </c>
      <c r="I451">
        <v>0</v>
      </c>
      <c r="J451">
        <v>1396321.32</v>
      </c>
      <c r="K451">
        <v>0</v>
      </c>
      <c r="L451">
        <v>0.1</v>
      </c>
      <c r="M451">
        <v>139632.13</v>
      </c>
      <c r="N451">
        <v>1535953.45</v>
      </c>
      <c r="O451" t="s">
        <v>35</v>
      </c>
    </row>
    <row r="452" spans="1:15" x14ac:dyDescent="0.35">
      <c r="A452" t="s">
        <v>505</v>
      </c>
      <c r="B452" s="2">
        <v>46162</v>
      </c>
      <c r="C452" t="s">
        <v>16</v>
      </c>
      <c r="D452" t="s">
        <v>17</v>
      </c>
      <c r="E452" t="s">
        <v>18</v>
      </c>
      <c r="F452" t="s">
        <v>19</v>
      </c>
      <c r="G452">
        <v>5</v>
      </c>
      <c r="H452">
        <v>676524.36</v>
      </c>
      <c r="I452">
        <v>0</v>
      </c>
      <c r="J452">
        <v>3382621.8</v>
      </c>
      <c r="K452">
        <v>0</v>
      </c>
      <c r="L452">
        <v>0.1</v>
      </c>
      <c r="M452">
        <v>338262.18</v>
      </c>
      <c r="N452">
        <v>3720883.98</v>
      </c>
      <c r="O452" t="s">
        <v>20</v>
      </c>
    </row>
    <row r="453" spans="1:15" x14ac:dyDescent="0.35">
      <c r="A453" t="s">
        <v>506</v>
      </c>
      <c r="B453" s="2">
        <v>46229</v>
      </c>
      <c r="C453" t="s">
        <v>22</v>
      </c>
      <c r="D453" t="s">
        <v>23</v>
      </c>
      <c r="E453" t="s">
        <v>24</v>
      </c>
      <c r="F453" t="s">
        <v>19</v>
      </c>
      <c r="G453">
        <v>6</v>
      </c>
      <c r="H453">
        <v>18796.169999999998</v>
      </c>
      <c r="I453">
        <v>0.15</v>
      </c>
      <c r="J453">
        <v>112777.02</v>
      </c>
      <c r="K453">
        <v>16916.55</v>
      </c>
      <c r="L453">
        <v>0.1</v>
      </c>
      <c r="M453">
        <v>9586.0499999999993</v>
      </c>
      <c r="N453">
        <v>105446.52</v>
      </c>
      <c r="O453" t="s">
        <v>35</v>
      </c>
    </row>
    <row r="454" spans="1:15" x14ac:dyDescent="0.35">
      <c r="A454" t="s">
        <v>507</v>
      </c>
      <c r="B454" s="2">
        <v>46055</v>
      </c>
      <c r="C454" t="s">
        <v>27</v>
      </c>
      <c r="D454" t="s">
        <v>28</v>
      </c>
      <c r="E454" t="s">
        <v>29</v>
      </c>
      <c r="F454" t="s">
        <v>30</v>
      </c>
      <c r="G454">
        <v>6</v>
      </c>
      <c r="H454">
        <v>102366.98</v>
      </c>
      <c r="I454">
        <v>0.05</v>
      </c>
      <c r="J454">
        <v>614201.88</v>
      </c>
      <c r="K454">
        <v>30710.09</v>
      </c>
      <c r="L454">
        <v>0.1</v>
      </c>
      <c r="M454">
        <v>58349.18</v>
      </c>
      <c r="N454">
        <v>641840.97</v>
      </c>
      <c r="O454" t="s">
        <v>20</v>
      </c>
    </row>
    <row r="455" spans="1:15" x14ac:dyDescent="0.35">
      <c r="A455" t="s">
        <v>508</v>
      </c>
      <c r="B455" s="2">
        <v>46053</v>
      </c>
      <c r="C455" t="s">
        <v>32</v>
      </c>
      <c r="D455" t="s">
        <v>33</v>
      </c>
      <c r="E455" t="s">
        <v>34</v>
      </c>
      <c r="F455" t="s">
        <v>30</v>
      </c>
      <c r="G455">
        <v>2</v>
      </c>
      <c r="H455">
        <v>11292.92</v>
      </c>
      <c r="I455">
        <v>0.1</v>
      </c>
      <c r="J455">
        <v>22585.84</v>
      </c>
      <c r="K455">
        <v>2258.58</v>
      </c>
      <c r="L455">
        <v>0.1</v>
      </c>
      <c r="M455">
        <v>2032.73</v>
      </c>
      <c r="N455">
        <v>22359.99</v>
      </c>
      <c r="O455" t="s">
        <v>25</v>
      </c>
    </row>
    <row r="456" spans="1:15" x14ac:dyDescent="0.35">
      <c r="A456" t="s">
        <v>509</v>
      </c>
      <c r="B456" s="2">
        <v>46231</v>
      </c>
      <c r="C456" t="s">
        <v>37</v>
      </c>
      <c r="D456" t="s">
        <v>38</v>
      </c>
      <c r="E456" t="s">
        <v>39</v>
      </c>
      <c r="F456" t="s">
        <v>40</v>
      </c>
      <c r="G456">
        <v>7</v>
      </c>
      <c r="H456">
        <v>150140.46</v>
      </c>
      <c r="I456">
        <v>0.15</v>
      </c>
      <c r="J456">
        <v>1050983.22</v>
      </c>
      <c r="K456">
        <v>157647.48000000001</v>
      </c>
      <c r="L456">
        <v>0.1</v>
      </c>
      <c r="M456">
        <v>89333.57</v>
      </c>
      <c r="N456">
        <v>982669.31</v>
      </c>
      <c r="O456" t="s">
        <v>35</v>
      </c>
    </row>
    <row r="457" spans="1:15" x14ac:dyDescent="0.35">
      <c r="A457" t="s">
        <v>510</v>
      </c>
      <c r="B457" s="2">
        <v>46217</v>
      </c>
      <c r="C457" t="s">
        <v>42</v>
      </c>
      <c r="D457" t="s">
        <v>43</v>
      </c>
      <c r="E457" t="s">
        <v>44</v>
      </c>
      <c r="F457" t="s">
        <v>45</v>
      </c>
      <c r="G457">
        <v>5</v>
      </c>
      <c r="H457">
        <v>86228.73</v>
      </c>
      <c r="I457">
        <v>0.15</v>
      </c>
      <c r="J457">
        <v>431143.65</v>
      </c>
      <c r="K457">
        <v>64671.55</v>
      </c>
      <c r="L457">
        <v>7.4999999999999997E-2</v>
      </c>
      <c r="M457">
        <v>27485.41</v>
      </c>
      <c r="N457">
        <v>393957.51</v>
      </c>
      <c r="O457" t="s">
        <v>35</v>
      </c>
    </row>
    <row r="458" spans="1:15" x14ac:dyDescent="0.35">
      <c r="A458" t="s">
        <v>511</v>
      </c>
      <c r="B458" s="2">
        <v>46137</v>
      </c>
      <c r="C458" t="s">
        <v>47</v>
      </c>
      <c r="D458" t="s">
        <v>48</v>
      </c>
      <c r="E458" t="s">
        <v>49</v>
      </c>
      <c r="F458" t="s">
        <v>50</v>
      </c>
      <c r="G458">
        <v>7</v>
      </c>
      <c r="H458">
        <v>123626.6</v>
      </c>
      <c r="I458">
        <v>0.1</v>
      </c>
      <c r="J458">
        <v>865386.2</v>
      </c>
      <c r="K458">
        <v>86538.62</v>
      </c>
      <c r="L458">
        <v>0.1</v>
      </c>
      <c r="M458">
        <v>77884.759999999995</v>
      </c>
      <c r="N458">
        <v>856732.34</v>
      </c>
      <c r="O458" t="s">
        <v>25</v>
      </c>
    </row>
    <row r="459" spans="1:15" x14ac:dyDescent="0.35">
      <c r="A459" t="s">
        <v>512</v>
      </c>
      <c r="B459" s="2">
        <v>46170</v>
      </c>
      <c r="C459" t="s">
        <v>52</v>
      </c>
      <c r="D459" t="s">
        <v>53</v>
      </c>
      <c r="E459" t="s">
        <v>54</v>
      </c>
      <c r="F459" t="s">
        <v>50</v>
      </c>
      <c r="G459">
        <v>5</v>
      </c>
      <c r="H459">
        <v>94561.15</v>
      </c>
      <c r="I459">
        <v>0.05</v>
      </c>
      <c r="J459">
        <v>472805.75</v>
      </c>
      <c r="K459">
        <v>23640.29</v>
      </c>
      <c r="L459">
        <v>0.1</v>
      </c>
      <c r="M459">
        <v>44916.55</v>
      </c>
      <c r="N459">
        <v>494082.01</v>
      </c>
      <c r="O459" t="s">
        <v>20</v>
      </c>
    </row>
    <row r="460" spans="1:15" x14ac:dyDescent="0.35">
      <c r="A460" t="s">
        <v>513</v>
      </c>
      <c r="B460" s="2">
        <v>46130</v>
      </c>
      <c r="C460" t="s">
        <v>56</v>
      </c>
      <c r="D460" t="s">
        <v>57</v>
      </c>
      <c r="E460" t="s">
        <v>58</v>
      </c>
      <c r="F460" t="s">
        <v>19</v>
      </c>
      <c r="G460">
        <v>4</v>
      </c>
      <c r="H460">
        <v>25905.85</v>
      </c>
      <c r="I460">
        <v>0</v>
      </c>
      <c r="J460">
        <v>103623.4</v>
      </c>
      <c r="K460">
        <v>0</v>
      </c>
      <c r="L460">
        <v>0.1</v>
      </c>
      <c r="M460">
        <v>10362.34</v>
      </c>
      <c r="N460">
        <v>113985.74</v>
      </c>
      <c r="O460" t="s">
        <v>35</v>
      </c>
    </row>
    <row r="461" spans="1:15" x14ac:dyDescent="0.35">
      <c r="A461" t="s">
        <v>514</v>
      </c>
      <c r="B461" s="2">
        <v>46175</v>
      </c>
      <c r="C461" t="s">
        <v>60</v>
      </c>
      <c r="D461" t="s">
        <v>61</v>
      </c>
      <c r="E461" t="s">
        <v>62</v>
      </c>
      <c r="F461" t="s">
        <v>19</v>
      </c>
      <c r="G461">
        <v>2</v>
      </c>
      <c r="H461">
        <v>225546.12</v>
      </c>
      <c r="I461">
        <v>0</v>
      </c>
      <c r="J461">
        <v>451092.24</v>
      </c>
      <c r="K461">
        <v>0</v>
      </c>
      <c r="L461">
        <v>0.1</v>
      </c>
      <c r="M461">
        <v>45109.22</v>
      </c>
      <c r="N461">
        <v>496201.46</v>
      </c>
      <c r="O461" t="s">
        <v>20</v>
      </c>
    </row>
    <row r="462" spans="1:15" x14ac:dyDescent="0.35">
      <c r="A462" t="s">
        <v>515</v>
      </c>
      <c r="B462" s="2">
        <v>46138</v>
      </c>
      <c r="C462" t="s">
        <v>16</v>
      </c>
      <c r="D462" t="s">
        <v>17</v>
      </c>
      <c r="E462" t="s">
        <v>18</v>
      </c>
      <c r="F462" t="s">
        <v>19</v>
      </c>
      <c r="G462">
        <v>7</v>
      </c>
      <c r="H462">
        <v>661957.74</v>
      </c>
      <c r="I462">
        <v>0.05</v>
      </c>
      <c r="J462">
        <v>4633704.18</v>
      </c>
      <c r="K462">
        <v>231685.21</v>
      </c>
      <c r="L462">
        <v>7.4999999999999997E-2</v>
      </c>
      <c r="M462">
        <v>330151.42</v>
      </c>
      <c r="N462">
        <v>4732170.3899999997</v>
      </c>
      <c r="O462" t="s">
        <v>20</v>
      </c>
    </row>
    <row r="463" spans="1:15" x14ac:dyDescent="0.35">
      <c r="A463" t="s">
        <v>516</v>
      </c>
      <c r="B463" s="2">
        <v>46084</v>
      </c>
      <c r="C463" t="s">
        <v>22</v>
      </c>
      <c r="D463" t="s">
        <v>23</v>
      </c>
      <c r="E463" t="s">
        <v>24</v>
      </c>
      <c r="F463" t="s">
        <v>19</v>
      </c>
      <c r="G463">
        <v>4</v>
      </c>
      <c r="H463">
        <v>18069.580000000002</v>
      </c>
      <c r="I463">
        <v>0.05</v>
      </c>
      <c r="J463">
        <v>72278.320000000007</v>
      </c>
      <c r="K463">
        <v>3613.92</v>
      </c>
      <c r="L463">
        <v>0.1</v>
      </c>
      <c r="M463">
        <v>6866.44</v>
      </c>
      <c r="N463">
        <v>75530.84</v>
      </c>
      <c r="O463" t="s">
        <v>35</v>
      </c>
    </row>
    <row r="464" spans="1:15" x14ac:dyDescent="0.35">
      <c r="A464" t="s">
        <v>517</v>
      </c>
      <c r="B464" s="2">
        <v>46207</v>
      </c>
      <c r="C464" t="s">
        <v>27</v>
      </c>
      <c r="D464" t="s">
        <v>28</v>
      </c>
      <c r="E464" t="s">
        <v>29</v>
      </c>
      <c r="F464" t="s">
        <v>30</v>
      </c>
      <c r="G464">
        <v>1</v>
      </c>
      <c r="H464">
        <v>87567.679999999993</v>
      </c>
      <c r="I464">
        <v>0</v>
      </c>
      <c r="J464">
        <v>87567.679999999993</v>
      </c>
      <c r="K464">
        <v>0</v>
      </c>
      <c r="L464">
        <v>0.1</v>
      </c>
      <c r="M464">
        <v>8756.77</v>
      </c>
      <c r="N464">
        <v>96324.45</v>
      </c>
      <c r="O464" t="s">
        <v>35</v>
      </c>
    </row>
    <row r="465" spans="1:15" x14ac:dyDescent="0.35">
      <c r="A465" t="s">
        <v>518</v>
      </c>
      <c r="B465" s="2">
        <v>46096</v>
      </c>
      <c r="C465" t="s">
        <v>32</v>
      </c>
      <c r="D465" t="s">
        <v>33</v>
      </c>
      <c r="E465" t="s">
        <v>34</v>
      </c>
      <c r="F465" t="s">
        <v>30</v>
      </c>
      <c r="G465">
        <v>3</v>
      </c>
      <c r="H465">
        <v>12492.03</v>
      </c>
      <c r="I465">
        <v>0.1</v>
      </c>
      <c r="J465">
        <v>37476.089999999997</v>
      </c>
      <c r="K465">
        <v>3747.61</v>
      </c>
      <c r="L465">
        <v>7.4999999999999997E-2</v>
      </c>
      <c r="M465">
        <v>2529.64</v>
      </c>
      <c r="N465">
        <v>36258.120000000003</v>
      </c>
      <c r="O465" t="s">
        <v>25</v>
      </c>
    </row>
    <row r="466" spans="1:15" x14ac:dyDescent="0.35">
      <c r="A466" t="s">
        <v>519</v>
      </c>
      <c r="B466" s="2">
        <v>46158</v>
      </c>
      <c r="C466" t="s">
        <v>37</v>
      </c>
      <c r="D466" t="s">
        <v>38</v>
      </c>
      <c r="E466" t="s">
        <v>39</v>
      </c>
      <c r="F466" t="s">
        <v>40</v>
      </c>
      <c r="G466">
        <v>5</v>
      </c>
      <c r="H466">
        <v>140993.14000000001</v>
      </c>
      <c r="I466">
        <v>0.1</v>
      </c>
      <c r="J466">
        <v>704965.7</v>
      </c>
      <c r="K466">
        <v>70496.570000000007</v>
      </c>
      <c r="L466">
        <v>7.4999999999999997E-2</v>
      </c>
      <c r="M466">
        <v>47585.18</v>
      </c>
      <c r="N466">
        <v>682054.31</v>
      </c>
      <c r="O466" t="s">
        <v>20</v>
      </c>
    </row>
    <row r="467" spans="1:15" x14ac:dyDescent="0.35">
      <c r="A467" t="s">
        <v>520</v>
      </c>
      <c r="B467" s="2">
        <v>46239</v>
      </c>
      <c r="C467" t="s">
        <v>42</v>
      </c>
      <c r="D467" t="s">
        <v>43</v>
      </c>
      <c r="E467" t="s">
        <v>44</v>
      </c>
      <c r="F467" t="s">
        <v>45</v>
      </c>
      <c r="G467">
        <v>6</v>
      </c>
      <c r="H467">
        <v>86265.4</v>
      </c>
      <c r="I467">
        <v>0</v>
      </c>
      <c r="J467">
        <v>517592.4</v>
      </c>
      <c r="K467">
        <v>0</v>
      </c>
      <c r="L467">
        <v>0.1</v>
      </c>
      <c r="M467">
        <v>51759.24</v>
      </c>
      <c r="N467">
        <v>569351.64</v>
      </c>
      <c r="O467" t="s">
        <v>35</v>
      </c>
    </row>
    <row r="468" spans="1:15" x14ac:dyDescent="0.35">
      <c r="A468" t="s">
        <v>521</v>
      </c>
      <c r="B468" s="2">
        <v>46030</v>
      </c>
      <c r="C468" t="s">
        <v>47</v>
      </c>
      <c r="D468" t="s">
        <v>48</v>
      </c>
      <c r="E468" t="s">
        <v>49</v>
      </c>
      <c r="F468" t="s">
        <v>50</v>
      </c>
      <c r="G468">
        <v>7</v>
      </c>
      <c r="H468">
        <v>110461.79</v>
      </c>
      <c r="I468">
        <v>0.05</v>
      </c>
      <c r="J468">
        <v>773232.53</v>
      </c>
      <c r="K468">
        <v>38661.629999999997</v>
      </c>
      <c r="L468">
        <v>0.1</v>
      </c>
      <c r="M468">
        <v>73457.09</v>
      </c>
      <c r="N468">
        <v>808027.99</v>
      </c>
      <c r="O468" t="s">
        <v>35</v>
      </c>
    </row>
    <row r="469" spans="1:15" x14ac:dyDescent="0.35">
      <c r="A469" t="s">
        <v>522</v>
      </c>
      <c r="B469" s="2">
        <v>46030</v>
      </c>
      <c r="C469" t="s">
        <v>52</v>
      </c>
      <c r="D469" t="s">
        <v>53</v>
      </c>
      <c r="E469" t="s">
        <v>54</v>
      </c>
      <c r="F469" t="s">
        <v>50</v>
      </c>
      <c r="G469">
        <v>5</v>
      </c>
      <c r="H469">
        <v>93487.85</v>
      </c>
      <c r="I469">
        <v>0.1</v>
      </c>
      <c r="J469">
        <v>467439.25</v>
      </c>
      <c r="K469">
        <v>46743.92</v>
      </c>
      <c r="L469">
        <v>7.4999999999999997E-2</v>
      </c>
      <c r="M469">
        <v>31552.15</v>
      </c>
      <c r="N469">
        <v>452247.48</v>
      </c>
      <c r="O469" t="s">
        <v>35</v>
      </c>
    </row>
    <row r="470" spans="1:15" x14ac:dyDescent="0.35">
      <c r="A470" t="s">
        <v>523</v>
      </c>
      <c r="B470" s="2">
        <v>46081</v>
      </c>
      <c r="C470" t="s">
        <v>56</v>
      </c>
      <c r="D470" t="s">
        <v>57</v>
      </c>
      <c r="E470" t="s">
        <v>58</v>
      </c>
      <c r="F470" t="s">
        <v>19</v>
      </c>
      <c r="G470">
        <v>3</v>
      </c>
      <c r="H470">
        <v>23259.41</v>
      </c>
      <c r="I470">
        <v>0.15</v>
      </c>
      <c r="J470">
        <v>69778.23</v>
      </c>
      <c r="K470">
        <v>10466.73</v>
      </c>
      <c r="L470">
        <v>0.1</v>
      </c>
      <c r="M470">
        <v>5931.15</v>
      </c>
      <c r="N470">
        <v>65242.65</v>
      </c>
      <c r="O470" t="s">
        <v>20</v>
      </c>
    </row>
    <row r="471" spans="1:15" x14ac:dyDescent="0.35">
      <c r="A471" t="s">
        <v>524</v>
      </c>
      <c r="B471" s="2">
        <v>46173</v>
      </c>
      <c r="C471" t="s">
        <v>60</v>
      </c>
      <c r="D471" t="s">
        <v>61</v>
      </c>
      <c r="E471" t="s">
        <v>62</v>
      </c>
      <c r="F471" t="s">
        <v>19</v>
      </c>
      <c r="G471">
        <v>6</v>
      </c>
      <c r="H471">
        <v>219528.24</v>
      </c>
      <c r="I471">
        <v>0.05</v>
      </c>
      <c r="J471">
        <v>1317169.44</v>
      </c>
      <c r="K471">
        <v>65858.47</v>
      </c>
      <c r="L471">
        <v>0.1</v>
      </c>
      <c r="M471">
        <v>125131.1</v>
      </c>
      <c r="N471">
        <v>1376442.07</v>
      </c>
      <c r="O471" t="s">
        <v>35</v>
      </c>
    </row>
    <row r="472" spans="1:15" x14ac:dyDescent="0.35">
      <c r="A472" t="s">
        <v>525</v>
      </c>
      <c r="B472" s="2">
        <v>46237</v>
      </c>
      <c r="C472" t="s">
        <v>16</v>
      </c>
      <c r="D472" t="s">
        <v>17</v>
      </c>
      <c r="E472" t="s">
        <v>18</v>
      </c>
      <c r="F472" t="s">
        <v>19</v>
      </c>
      <c r="G472">
        <v>4</v>
      </c>
      <c r="H472">
        <v>631499.23</v>
      </c>
      <c r="I472">
        <v>0.1</v>
      </c>
      <c r="J472">
        <v>2525996.92</v>
      </c>
      <c r="K472">
        <v>252599.69</v>
      </c>
      <c r="L472">
        <v>0.1</v>
      </c>
      <c r="M472">
        <v>227339.72</v>
      </c>
      <c r="N472">
        <v>2500736.9500000002</v>
      </c>
      <c r="O472" t="s">
        <v>35</v>
      </c>
    </row>
    <row r="473" spans="1:15" x14ac:dyDescent="0.35">
      <c r="A473" t="s">
        <v>526</v>
      </c>
      <c r="B473" s="2">
        <v>46143</v>
      </c>
      <c r="C473" t="s">
        <v>22</v>
      </c>
      <c r="D473" t="s">
        <v>23</v>
      </c>
      <c r="E473" t="s">
        <v>24</v>
      </c>
      <c r="F473" t="s">
        <v>19</v>
      </c>
      <c r="G473">
        <v>5</v>
      </c>
      <c r="H473">
        <v>18708.259999999998</v>
      </c>
      <c r="I473">
        <v>0.05</v>
      </c>
      <c r="J473">
        <v>93541.3</v>
      </c>
      <c r="K473">
        <v>4677.07</v>
      </c>
      <c r="L473">
        <v>0.1</v>
      </c>
      <c r="M473">
        <v>8886.42</v>
      </c>
      <c r="N473">
        <v>97750.65</v>
      </c>
      <c r="O473" t="s">
        <v>20</v>
      </c>
    </row>
    <row r="474" spans="1:15" x14ac:dyDescent="0.35">
      <c r="A474" t="s">
        <v>527</v>
      </c>
      <c r="B474" s="2">
        <v>46209</v>
      </c>
      <c r="C474" t="s">
        <v>27</v>
      </c>
      <c r="D474" t="s">
        <v>28</v>
      </c>
      <c r="E474" t="s">
        <v>29</v>
      </c>
      <c r="F474" t="s">
        <v>30</v>
      </c>
      <c r="G474">
        <v>3</v>
      </c>
      <c r="H474">
        <v>94091.02</v>
      </c>
      <c r="I474">
        <v>0.15</v>
      </c>
      <c r="J474">
        <v>282273.06</v>
      </c>
      <c r="K474">
        <v>42340.959999999999</v>
      </c>
      <c r="L474">
        <v>0.1</v>
      </c>
      <c r="M474">
        <v>23993.21</v>
      </c>
      <c r="N474">
        <v>263925.31</v>
      </c>
      <c r="O474" t="s">
        <v>20</v>
      </c>
    </row>
    <row r="475" spans="1:15" x14ac:dyDescent="0.35">
      <c r="A475" t="s">
        <v>528</v>
      </c>
      <c r="B475" s="2">
        <v>46246</v>
      </c>
      <c r="C475" t="s">
        <v>32</v>
      </c>
      <c r="D475" t="s">
        <v>33</v>
      </c>
      <c r="E475" t="s">
        <v>34</v>
      </c>
      <c r="F475" t="s">
        <v>30</v>
      </c>
      <c r="G475">
        <v>1</v>
      </c>
      <c r="H475">
        <v>11210.11</v>
      </c>
      <c r="I475">
        <v>0.15</v>
      </c>
      <c r="J475">
        <v>11210.11</v>
      </c>
      <c r="K475">
        <v>1681.52</v>
      </c>
      <c r="L475">
        <v>7.4999999999999997E-2</v>
      </c>
      <c r="M475">
        <v>714.64</v>
      </c>
      <c r="N475">
        <v>10243.23</v>
      </c>
      <c r="O475" t="s">
        <v>20</v>
      </c>
    </row>
    <row r="476" spans="1:15" x14ac:dyDescent="0.35">
      <c r="A476" t="s">
        <v>529</v>
      </c>
      <c r="B476" s="2">
        <v>46187</v>
      </c>
      <c r="C476" t="s">
        <v>37</v>
      </c>
      <c r="D476" t="s">
        <v>38</v>
      </c>
      <c r="E476" t="s">
        <v>39</v>
      </c>
      <c r="F476" t="s">
        <v>40</v>
      </c>
      <c r="G476">
        <v>3</v>
      </c>
      <c r="H476">
        <v>155606.78</v>
      </c>
      <c r="I476">
        <v>0.05</v>
      </c>
      <c r="J476">
        <v>466820.34</v>
      </c>
      <c r="K476">
        <v>23341.02</v>
      </c>
      <c r="L476">
        <v>7.4999999999999997E-2</v>
      </c>
      <c r="M476">
        <v>33260.949999999997</v>
      </c>
      <c r="N476">
        <v>476740.27</v>
      </c>
      <c r="O476" t="s">
        <v>35</v>
      </c>
    </row>
    <row r="477" spans="1:15" x14ac:dyDescent="0.35">
      <c r="A477" t="s">
        <v>530</v>
      </c>
      <c r="B477" s="2">
        <v>46169</v>
      </c>
      <c r="C477" t="s">
        <v>42</v>
      </c>
      <c r="D477" t="s">
        <v>43</v>
      </c>
      <c r="E477" t="s">
        <v>44</v>
      </c>
      <c r="F477" t="s">
        <v>45</v>
      </c>
      <c r="G477">
        <v>4</v>
      </c>
      <c r="H477">
        <v>84947.86</v>
      </c>
      <c r="I477">
        <v>0.1</v>
      </c>
      <c r="J477">
        <v>339791.44</v>
      </c>
      <c r="K477">
        <v>33979.14</v>
      </c>
      <c r="L477">
        <v>7.4999999999999997E-2</v>
      </c>
      <c r="M477">
        <v>22935.919999999998</v>
      </c>
      <c r="N477">
        <v>328748.21999999997</v>
      </c>
      <c r="O477" t="s">
        <v>35</v>
      </c>
    </row>
    <row r="478" spans="1:15" x14ac:dyDescent="0.35">
      <c r="A478" t="s">
        <v>531</v>
      </c>
      <c r="B478" s="2">
        <v>46116</v>
      </c>
      <c r="C478" t="s">
        <v>47</v>
      </c>
      <c r="D478" t="s">
        <v>48</v>
      </c>
      <c r="E478" t="s">
        <v>49</v>
      </c>
      <c r="F478" t="s">
        <v>50</v>
      </c>
      <c r="G478">
        <v>6</v>
      </c>
      <c r="H478">
        <v>124746.62</v>
      </c>
      <c r="I478">
        <v>0.1</v>
      </c>
      <c r="J478">
        <v>748479.72</v>
      </c>
      <c r="K478">
        <v>74847.97</v>
      </c>
      <c r="L478">
        <v>7.4999999999999997E-2</v>
      </c>
      <c r="M478">
        <v>50522.38</v>
      </c>
      <c r="N478">
        <v>724154.13</v>
      </c>
      <c r="O478" t="s">
        <v>20</v>
      </c>
    </row>
    <row r="479" spans="1:15" x14ac:dyDescent="0.35">
      <c r="A479" t="s">
        <v>532</v>
      </c>
      <c r="B479" s="2">
        <v>46029</v>
      </c>
      <c r="C479" t="s">
        <v>52</v>
      </c>
      <c r="D479" t="s">
        <v>53</v>
      </c>
      <c r="E479" t="s">
        <v>54</v>
      </c>
      <c r="F479" t="s">
        <v>50</v>
      </c>
      <c r="G479">
        <v>1</v>
      </c>
      <c r="H479">
        <v>101048.8</v>
      </c>
      <c r="I479">
        <v>0.05</v>
      </c>
      <c r="J479">
        <v>101048.8</v>
      </c>
      <c r="K479">
        <v>5052.4399999999996</v>
      </c>
      <c r="L479">
        <v>0.1</v>
      </c>
      <c r="M479">
        <v>9599.64</v>
      </c>
      <c r="N479">
        <v>105596</v>
      </c>
      <c r="O479" t="s">
        <v>35</v>
      </c>
    </row>
    <row r="480" spans="1:15" x14ac:dyDescent="0.35">
      <c r="A480" t="s">
        <v>533</v>
      </c>
      <c r="B480" s="2">
        <v>46224</v>
      </c>
      <c r="C480" t="s">
        <v>56</v>
      </c>
      <c r="D480" t="s">
        <v>57</v>
      </c>
      <c r="E480" t="s">
        <v>58</v>
      </c>
      <c r="F480" t="s">
        <v>19</v>
      </c>
      <c r="G480">
        <v>1</v>
      </c>
      <c r="H480">
        <v>25343.24</v>
      </c>
      <c r="I480">
        <v>0.05</v>
      </c>
      <c r="J480">
        <v>25343.24</v>
      </c>
      <c r="K480">
        <v>1267.1600000000001</v>
      </c>
      <c r="L480">
        <v>7.4999999999999997E-2</v>
      </c>
      <c r="M480">
        <v>1805.71</v>
      </c>
      <c r="N480">
        <v>25881.79</v>
      </c>
      <c r="O480" t="s">
        <v>35</v>
      </c>
    </row>
    <row r="481" spans="1:15" x14ac:dyDescent="0.35">
      <c r="A481" t="s">
        <v>534</v>
      </c>
      <c r="B481" s="2">
        <v>46061</v>
      </c>
      <c r="C481" t="s">
        <v>60</v>
      </c>
      <c r="D481" t="s">
        <v>61</v>
      </c>
      <c r="E481" t="s">
        <v>62</v>
      </c>
      <c r="F481" t="s">
        <v>19</v>
      </c>
      <c r="G481">
        <v>5</v>
      </c>
      <c r="H481">
        <v>229946.88</v>
      </c>
      <c r="I481">
        <v>0.1</v>
      </c>
      <c r="J481">
        <v>1149734.3999999999</v>
      </c>
      <c r="K481">
        <v>114973.44</v>
      </c>
      <c r="L481">
        <v>0.1</v>
      </c>
      <c r="M481">
        <v>103476.1</v>
      </c>
      <c r="N481">
        <v>1148237.06</v>
      </c>
      <c r="O481" t="s">
        <v>35</v>
      </c>
    </row>
    <row r="482" spans="1:15" x14ac:dyDescent="0.35">
      <c r="A482" t="s">
        <v>535</v>
      </c>
      <c r="B482" s="2">
        <v>46238</v>
      </c>
      <c r="C482" t="s">
        <v>16</v>
      </c>
      <c r="D482" t="s">
        <v>17</v>
      </c>
      <c r="E482" t="s">
        <v>18</v>
      </c>
      <c r="F482" t="s">
        <v>19</v>
      </c>
      <c r="G482">
        <v>3</v>
      </c>
      <c r="H482">
        <v>637199.06999999995</v>
      </c>
      <c r="I482">
        <v>0.15</v>
      </c>
      <c r="J482">
        <v>1911597.21</v>
      </c>
      <c r="K482">
        <v>286739.58</v>
      </c>
      <c r="L482">
        <v>7.4999999999999997E-2</v>
      </c>
      <c r="M482">
        <v>121864.32000000001</v>
      </c>
      <c r="N482">
        <v>1746721.95</v>
      </c>
      <c r="O482" t="s">
        <v>20</v>
      </c>
    </row>
    <row r="483" spans="1:15" x14ac:dyDescent="0.35">
      <c r="A483" t="s">
        <v>536</v>
      </c>
      <c r="B483" s="2">
        <v>46116</v>
      </c>
      <c r="C483" t="s">
        <v>22</v>
      </c>
      <c r="D483" t="s">
        <v>23</v>
      </c>
      <c r="E483" t="s">
        <v>24</v>
      </c>
      <c r="F483" t="s">
        <v>19</v>
      </c>
      <c r="G483">
        <v>2</v>
      </c>
      <c r="H483">
        <v>19259.580000000002</v>
      </c>
      <c r="I483">
        <v>0.15</v>
      </c>
      <c r="J483">
        <v>38519.160000000003</v>
      </c>
      <c r="K483">
        <v>5777.87</v>
      </c>
      <c r="L483">
        <v>0.1</v>
      </c>
      <c r="M483">
        <v>3274.13</v>
      </c>
      <c r="N483">
        <v>36015.42</v>
      </c>
      <c r="O483" t="s">
        <v>35</v>
      </c>
    </row>
    <row r="484" spans="1:15" x14ac:dyDescent="0.35">
      <c r="A484" t="s">
        <v>537</v>
      </c>
      <c r="B484" s="2">
        <v>46050</v>
      </c>
      <c r="C484" t="s">
        <v>27</v>
      </c>
      <c r="D484" t="s">
        <v>28</v>
      </c>
      <c r="E484" t="s">
        <v>29</v>
      </c>
      <c r="F484" t="s">
        <v>30</v>
      </c>
      <c r="G484">
        <v>7</v>
      </c>
      <c r="H484">
        <v>101139.48</v>
      </c>
      <c r="I484">
        <v>0.1</v>
      </c>
      <c r="J484">
        <v>707976.36</v>
      </c>
      <c r="K484">
        <v>70797.64</v>
      </c>
      <c r="L484">
        <v>7.4999999999999997E-2</v>
      </c>
      <c r="M484">
        <v>47788.4</v>
      </c>
      <c r="N484">
        <v>684967.12</v>
      </c>
      <c r="O484" t="s">
        <v>20</v>
      </c>
    </row>
    <row r="485" spans="1:15" x14ac:dyDescent="0.35">
      <c r="A485" t="s">
        <v>538</v>
      </c>
      <c r="B485" s="2">
        <v>46134</v>
      </c>
      <c r="C485" t="s">
        <v>32</v>
      </c>
      <c r="D485" t="s">
        <v>33</v>
      </c>
      <c r="E485" t="s">
        <v>34</v>
      </c>
      <c r="F485" t="s">
        <v>30</v>
      </c>
      <c r="G485">
        <v>6</v>
      </c>
      <c r="H485">
        <v>11149.98</v>
      </c>
      <c r="I485">
        <v>0.05</v>
      </c>
      <c r="J485">
        <v>66899.88</v>
      </c>
      <c r="K485">
        <v>3344.99</v>
      </c>
      <c r="L485">
        <v>0.1</v>
      </c>
      <c r="M485">
        <v>6355.49</v>
      </c>
      <c r="N485">
        <v>69910.38</v>
      </c>
      <c r="O485" t="s">
        <v>35</v>
      </c>
    </row>
    <row r="486" spans="1:15" x14ac:dyDescent="0.35">
      <c r="A486" t="s">
        <v>539</v>
      </c>
      <c r="B486" s="2">
        <v>46239</v>
      </c>
      <c r="C486" t="s">
        <v>37</v>
      </c>
      <c r="D486" t="s">
        <v>38</v>
      </c>
      <c r="E486" t="s">
        <v>39</v>
      </c>
      <c r="F486" t="s">
        <v>40</v>
      </c>
      <c r="G486">
        <v>7</v>
      </c>
      <c r="H486">
        <v>160142.95000000001</v>
      </c>
      <c r="I486">
        <v>0</v>
      </c>
      <c r="J486">
        <v>1121000.6499999999</v>
      </c>
      <c r="K486">
        <v>0</v>
      </c>
      <c r="L486">
        <v>0.1</v>
      </c>
      <c r="M486">
        <v>112100.06</v>
      </c>
      <c r="N486">
        <v>1233100.71</v>
      </c>
      <c r="O486" t="s">
        <v>35</v>
      </c>
    </row>
    <row r="487" spans="1:15" x14ac:dyDescent="0.35">
      <c r="A487" t="s">
        <v>540</v>
      </c>
      <c r="B487" s="2">
        <v>46161</v>
      </c>
      <c r="C487" t="s">
        <v>42</v>
      </c>
      <c r="D487" t="s">
        <v>43</v>
      </c>
      <c r="E487" t="s">
        <v>44</v>
      </c>
      <c r="F487" t="s">
        <v>45</v>
      </c>
      <c r="G487">
        <v>4</v>
      </c>
      <c r="H487">
        <v>78806.490000000005</v>
      </c>
      <c r="I487">
        <v>0.05</v>
      </c>
      <c r="J487">
        <v>315225.96000000002</v>
      </c>
      <c r="K487">
        <v>15761.3</v>
      </c>
      <c r="L487">
        <v>0.1</v>
      </c>
      <c r="M487">
        <v>29946.47</v>
      </c>
      <c r="N487">
        <v>329411.13</v>
      </c>
      <c r="O487" t="s">
        <v>35</v>
      </c>
    </row>
    <row r="488" spans="1:15" x14ac:dyDescent="0.35">
      <c r="A488" t="s">
        <v>541</v>
      </c>
      <c r="B488" s="2">
        <v>46170</v>
      </c>
      <c r="C488" t="s">
        <v>47</v>
      </c>
      <c r="D488" t="s">
        <v>48</v>
      </c>
      <c r="E488" t="s">
        <v>49</v>
      </c>
      <c r="F488" t="s">
        <v>50</v>
      </c>
      <c r="G488">
        <v>4</v>
      </c>
      <c r="H488">
        <v>125512.83</v>
      </c>
      <c r="I488">
        <v>0.05</v>
      </c>
      <c r="J488">
        <v>502051.32</v>
      </c>
      <c r="K488">
        <v>25102.57</v>
      </c>
      <c r="L488">
        <v>0.1</v>
      </c>
      <c r="M488">
        <v>47694.879999999997</v>
      </c>
      <c r="N488">
        <v>524643.63</v>
      </c>
      <c r="O488" t="s">
        <v>20</v>
      </c>
    </row>
    <row r="489" spans="1:15" x14ac:dyDescent="0.35">
      <c r="A489" t="s">
        <v>542</v>
      </c>
      <c r="B489" s="2">
        <v>46099</v>
      </c>
      <c r="C489" t="s">
        <v>52</v>
      </c>
      <c r="D489" t="s">
        <v>53</v>
      </c>
      <c r="E489" t="s">
        <v>54</v>
      </c>
      <c r="F489" t="s">
        <v>50</v>
      </c>
      <c r="G489">
        <v>2</v>
      </c>
      <c r="H489">
        <v>105516.63</v>
      </c>
      <c r="I489">
        <v>0.05</v>
      </c>
      <c r="J489">
        <v>211033.26</v>
      </c>
      <c r="K489">
        <v>10551.66</v>
      </c>
      <c r="L489">
        <v>0.1</v>
      </c>
      <c r="M489">
        <v>20048.16</v>
      </c>
      <c r="N489">
        <v>220529.76</v>
      </c>
      <c r="O489" t="s">
        <v>35</v>
      </c>
    </row>
    <row r="490" spans="1:15" x14ac:dyDescent="0.35">
      <c r="A490" t="s">
        <v>543</v>
      </c>
      <c r="B490" s="2">
        <v>46211</v>
      </c>
      <c r="C490" t="s">
        <v>56</v>
      </c>
      <c r="D490" t="s">
        <v>57</v>
      </c>
      <c r="E490" t="s">
        <v>58</v>
      </c>
      <c r="F490" t="s">
        <v>19</v>
      </c>
      <c r="G490">
        <v>3</v>
      </c>
      <c r="H490">
        <v>23250.61</v>
      </c>
      <c r="I490">
        <v>0.05</v>
      </c>
      <c r="J490">
        <v>69751.83</v>
      </c>
      <c r="K490">
        <v>3487.59</v>
      </c>
      <c r="L490">
        <v>7.4999999999999997E-2</v>
      </c>
      <c r="M490">
        <v>4969.82</v>
      </c>
      <c r="N490">
        <v>71234.06</v>
      </c>
      <c r="O490" t="s">
        <v>35</v>
      </c>
    </row>
    <row r="491" spans="1:15" x14ac:dyDescent="0.35">
      <c r="A491" t="s">
        <v>544</v>
      </c>
      <c r="B491" s="2">
        <v>46153</v>
      </c>
      <c r="C491" t="s">
        <v>60</v>
      </c>
      <c r="D491" t="s">
        <v>61</v>
      </c>
      <c r="E491" t="s">
        <v>62</v>
      </c>
      <c r="F491" t="s">
        <v>19</v>
      </c>
      <c r="G491">
        <v>2</v>
      </c>
      <c r="H491">
        <v>216870.57</v>
      </c>
      <c r="I491">
        <v>0.1</v>
      </c>
      <c r="J491">
        <v>433741.14</v>
      </c>
      <c r="K491">
        <v>43374.11</v>
      </c>
      <c r="L491">
        <v>0.1</v>
      </c>
      <c r="M491">
        <v>39036.699999999997</v>
      </c>
      <c r="N491">
        <v>429403.73</v>
      </c>
      <c r="O491" t="s">
        <v>35</v>
      </c>
    </row>
    <row r="492" spans="1:15" x14ac:dyDescent="0.35">
      <c r="A492" t="s">
        <v>545</v>
      </c>
      <c r="B492" s="2">
        <v>46225</v>
      </c>
      <c r="C492" t="s">
        <v>16</v>
      </c>
      <c r="D492" t="s">
        <v>17</v>
      </c>
      <c r="E492" t="s">
        <v>18</v>
      </c>
      <c r="F492" t="s">
        <v>19</v>
      </c>
      <c r="G492">
        <v>3</v>
      </c>
      <c r="H492">
        <v>698193.02</v>
      </c>
      <c r="I492">
        <v>0.1</v>
      </c>
      <c r="J492">
        <v>2094579.06</v>
      </c>
      <c r="K492">
        <v>209457.91</v>
      </c>
      <c r="L492">
        <v>0.1</v>
      </c>
      <c r="M492">
        <v>188512.12</v>
      </c>
      <c r="N492">
        <v>2073633.27</v>
      </c>
      <c r="O492" t="s">
        <v>35</v>
      </c>
    </row>
    <row r="493" spans="1:15" x14ac:dyDescent="0.35">
      <c r="A493" t="s">
        <v>546</v>
      </c>
      <c r="B493" s="2">
        <v>46083</v>
      </c>
      <c r="C493" t="s">
        <v>22</v>
      </c>
      <c r="D493" t="s">
        <v>23</v>
      </c>
      <c r="E493" t="s">
        <v>24</v>
      </c>
      <c r="F493" t="s">
        <v>19</v>
      </c>
      <c r="G493">
        <v>2</v>
      </c>
      <c r="H493">
        <v>17766.12</v>
      </c>
      <c r="I493">
        <v>0.15</v>
      </c>
      <c r="J493">
        <v>35532.239999999998</v>
      </c>
      <c r="K493">
        <v>5329.84</v>
      </c>
      <c r="L493">
        <v>0.1</v>
      </c>
      <c r="M493">
        <v>3020.24</v>
      </c>
      <c r="N493">
        <v>33222.639999999999</v>
      </c>
      <c r="O493" t="s">
        <v>35</v>
      </c>
    </row>
    <row r="494" spans="1:15" x14ac:dyDescent="0.35">
      <c r="A494" t="s">
        <v>547</v>
      </c>
      <c r="B494" s="2">
        <v>46244</v>
      </c>
      <c r="C494" t="s">
        <v>27</v>
      </c>
      <c r="D494" t="s">
        <v>28</v>
      </c>
      <c r="E494" t="s">
        <v>29</v>
      </c>
      <c r="F494" t="s">
        <v>30</v>
      </c>
      <c r="G494">
        <v>5</v>
      </c>
      <c r="H494">
        <v>91299.26</v>
      </c>
      <c r="I494">
        <v>0.1</v>
      </c>
      <c r="J494">
        <v>456496.3</v>
      </c>
      <c r="K494">
        <v>45649.63</v>
      </c>
      <c r="L494">
        <v>7.4999999999999997E-2</v>
      </c>
      <c r="M494">
        <v>30813.5</v>
      </c>
      <c r="N494">
        <v>441660.17</v>
      </c>
      <c r="O494" t="s">
        <v>35</v>
      </c>
    </row>
    <row r="495" spans="1:15" x14ac:dyDescent="0.35">
      <c r="A495" t="s">
        <v>548</v>
      </c>
      <c r="B495" s="2">
        <v>46154</v>
      </c>
      <c r="C495" t="s">
        <v>32</v>
      </c>
      <c r="D495" t="s">
        <v>33</v>
      </c>
      <c r="E495" t="s">
        <v>34</v>
      </c>
      <c r="F495" t="s">
        <v>30</v>
      </c>
      <c r="G495">
        <v>1</v>
      </c>
      <c r="H495">
        <v>11930.75</v>
      </c>
      <c r="I495">
        <v>0</v>
      </c>
      <c r="J495">
        <v>11930.75</v>
      </c>
      <c r="K495">
        <v>0</v>
      </c>
      <c r="L495">
        <v>7.4999999999999997E-2</v>
      </c>
      <c r="M495">
        <v>894.81</v>
      </c>
      <c r="N495">
        <v>12825.56</v>
      </c>
      <c r="O495" t="s">
        <v>25</v>
      </c>
    </row>
    <row r="496" spans="1:15" x14ac:dyDescent="0.35">
      <c r="A496" t="s">
        <v>549</v>
      </c>
      <c r="B496" s="2">
        <v>46222</v>
      </c>
      <c r="C496" t="s">
        <v>37</v>
      </c>
      <c r="D496" t="s">
        <v>38</v>
      </c>
      <c r="E496" t="s">
        <v>39</v>
      </c>
      <c r="F496" t="s">
        <v>40</v>
      </c>
      <c r="G496">
        <v>5</v>
      </c>
      <c r="H496">
        <v>140738.29999999999</v>
      </c>
      <c r="I496">
        <v>0.05</v>
      </c>
      <c r="J496">
        <v>703691.5</v>
      </c>
      <c r="K496">
        <v>35184.58</v>
      </c>
      <c r="L496">
        <v>7.4999999999999997E-2</v>
      </c>
      <c r="M496">
        <v>50138.02</v>
      </c>
      <c r="N496">
        <v>718644.94</v>
      </c>
      <c r="O496" t="s">
        <v>35</v>
      </c>
    </row>
    <row r="497" spans="1:15" x14ac:dyDescent="0.35">
      <c r="A497" t="s">
        <v>550</v>
      </c>
      <c r="B497" s="2">
        <v>46107</v>
      </c>
      <c r="C497" t="s">
        <v>42</v>
      </c>
      <c r="D497" t="s">
        <v>43</v>
      </c>
      <c r="E497" t="s">
        <v>44</v>
      </c>
      <c r="F497" t="s">
        <v>45</v>
      </c>
      <c r="G497">
        <v>1</v>
      </c>
      <c r="H497">
        <v>89768.38</v>
      </c>
      <c r="I497">
        <v>0.1</v>
      </c>
      <c r="J497">
        <v>89768.38</v>
      </c>
      <c r="K497">
        <v>8976.84</v>
      </c>
      <c r="L497">
        <v>7.4999999999999997E-2</v>
      </c>
      <c r="M497">
        <v>6059.37</v>
      </c>
      <c r="N497">
        <v>86850.91</v>
      </c>
      <c r="O497" t="s">
        <v>25</v>
      </c>
    </row>
    <row r="498" spans="1:15" x14ac:dyDescent="0.35">
      <c r="A498" t="s">
        <v>551</v>
      </c>
      <c r="B498" s="2">
        <v>46195</v>
      </c>
      <c r="C498" t="s">
        <v>47</v>
      </c>
      <c r="D498" t="s">
        <v>48</v>
      </c>
      <c r="E498" t="s">
        <v>49</v>
      </c>
      <c r="F498" t="s">
        <v>50</v>
      </c>
      <c r="G498">
        <v>5</v>
      </c>
      <c r="H498">
        <v>126914.68</v>
      </c>
      <c r="I498">
        <v>0.05</v>
      </c>
      <c r="J498">
        <v>634573.4</v>
      </c>
      <c r="K498">
        <v>31728.67</v>
      </c>
      <c r="L498">
        <v>7.4999999999999997E-2</v>
      </c>
      <c r="M498">
        <v>45213.35</v>
      </c>
      <c r="N498">
        <v>648058.07999999996</v>
      </c>
      <c r="O498" t="s">
        <v>20</v>
      </c>
    </row>
    <row r="499" spans="1:15" x14ac:dyDescent="0.35">
      <c r="A499" t="s">
        <v>552</v>
      </c>
      <c r="B499" s="2">
        <v>46224</v>
      </c>
      <c r="C499" t="s">
        <v>52</v>
      </c>
      <c r="D499" t="s">
        <v>53</v>
      </c>
      <c r="E499" t="s">
        <v>54</v>
      </c>
      <c r="F499" t="s">
        <v>50</v>
      </c>
      <c r="G499">
        <v>1</v>
      </c>
      <c r="H499">
        <v>100696.61</v>
      </c>
      <c r="I499">
        <v>0.05</v>
      </c>
      <c r="J499">
        <v>100696.61</v>
      </c>
      <c r="K499">
        <v>5034.83</v>
      </c>
      <c r="L499">
        <v>0.1</v>
      </c>
      <c r="M499">
        <v>9566.18</v>
      </c>
      <c r="N499">
        <v>105227.96</v>
      </c>
      <c r="O499" t="s">
        <v>20</v>
      </c>
    </row>
    <row r="500" spans="1:15" x14ac:dyDescent="0.35">
      <c r="A500" t="s">
        <v>553</v>
      </c>
      <c r="B500" s="2">
        <v>46138</v>
      </c>
      <c r="C500" t="s">
        <v>56</v>
      </c>
      <c r="D500" t="s">
        <v>57</v>
      </c>
      <c r="E500" t="s">
        <v>58</v>
      </c>
      <c r="F500" t="s">
        <v>19</v>
      </c>
      <c r="G500">
        <v>2</v>
      </c>
      <c r="H500">
        <v>23663.1</v>
      </c>
      <c r="I500">
        <v>0.05</v>
      </c>
      <c r="J500">
        <v>47326.2</v>
      </c>
      <c r="K500">
        <v>2366.31</v>
      </c>
      <c r="L500">
        <v>0.1</v>
      </c>
      <c r="M500">
        <v>4495.99</v>
      </c>
      <c r="N500">
        <v>49455.88</v>
      </c>
      <c r="O500" t="s">
        <v>35</v>
      </c>
    </row>
    <row r="501" spans="1:15" x14ac:dyDescent="0.35">
      <c r="A501" t="s">
        <v>554</v>
      </c>
      <c r="B501" s="2">
        <v>46151</v>
      </c>
      <c r="C501" t="s">
        <v>60</v>
      </c>
      <c r="D501" t="s">
        <v>555</v>
      </c>
      <c r="E501" t="s">
        <v>62</v>
      </c>
      <c r="F501" t="s">
        <v>19</v>
      </c>
      <c r="G501">
        <v>2</v>
      </c>
      <c r="H501">
        <v>218672.8</v>
      </c>
      <c r="I501">
        <v>0.15</v>
      </c>
      <c r="J501">
        <v>437345.6</v>
      </c>
      <c r="K501">
        <v>65601.84</v>
      </c>
      <c r="L501">
        <v>7.4999999999999997E-2</v>
      </c>
      <c r="M501">
        <v>27880.78</v>
      </c>
      <c r="N501">
        <v>399624.54</v>
      </c>
      <c r="O501" t="s">
        <v>20</v>
      </c>
    </row>
  </sheetData>
  <conditionalFormatting sqref="A1:A501">
    <cfRule type="duplicateValues" dxfId="1" priority="1"/>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8E142-F499-460B-B5DF-3F1BB204D029}">
  <dimension ref="A1:C45"/>
  <sheetViews>
    <sheetView topLeftCell="A42" zoomScale="80" zoomScaleNormal="80" workbookViewId="0">
      <selection activeCell="A44" sqref="A44:C44"/>
    </sheetView>
  </sheetViews>
  <sheetFormatPr defaultRowHeight="14.5" x14ac:dyDescent="0.35"/>
  <cols>
    <col min="1" max="1" width="62.1796875" customWidth="1"/>
    <col min="2" max="2" width="30.08984375" customWidth="1"/>
    <col min="3" max="3" width="34.08984375" customWidth="1"/>
  </cols>
  <sheetData>
    <row r="1" spans="1:3" x14ac:dyDescent="0.35">
      <c r="A1" s="23" t="s">
        <v>675</v>
      </c>
      <c r="B1" s="23"/>
      <c r="C1" s="23"/>
    </row>
    <row r="2" spans="1:3" x14ac:dyDescent="0.35">
      <c r="A2" s="8" t="s">
        <v>627</v>
      </c>
      <c r="B2" s="19" t="s">
        <v>628</v>
      </c>
    </row>
    <row r="3" spans="1:3" x14ac:dyDescent="0.35">
      <c r="A3" s="8" t="s">
        <v>629</v>
      </c>
      <c r="B3" s="4" t="s">
        <v>630</v>
      </c>
    </row>
    <row r="4" spans="1:3" x14ac:dyDescent="0.35">
      <c r="A4" s="8" t="s">
        <v>631</v>
      </c>
      <c r="B4" s="4" t="s">
        <v>632</v>
      </c>
    </row>
    <row r="5" spans="1:3" x14ac:dyDescent="0.35">
      <c r="A5" s="8" t="s">
        <v>633</v>
      </c>
      <c r="B5" s="4">
        <v>500</v>
      </c>
    </row>
    <row r="6" spans="1:3" x14ac:dyDescent="0.35">
      <c r="A6" s="8" t="s">
        <v>634</v>
      </c>
      <c r="B6" s="4" t="s">
        <v>635</v>
      </c>
    </row>
    <row r="7" spans="1:3" ht="29" x14ac:dyDescent="0.35">
      <c r="A7" s="8" t="s">
        <v>636</v>
      </c>
      <c r="B7" s="18" t="s">
        <v>637</v>
      </c>
    </row>
    <row r="9" spans="1:3" x14ac:dyDescent="0.35">
      <c r="A9" s="24" t="s">
        <v>639</v>
      </c>
      <c r="B9" s="25"/>
      <c r="C9" s="25"/>
    </row>
    <row r="10" spans="1:3" ht="72.5" x14ac:dyDescent="0.35">
      <c r="A10" s="17" t="s">
        <v>638</v>
      </c>
    </row>
    <row r="12" spans="1:3" x14ac:dyDescent="0.35">
      <c r="A12" s="26" t="s">
        <v>640</v>
      </c>
      <c r="B12" s="26" t="s">
        <v>557</v>
      </c>
      <c r="C12" s="26" t="s">
        <v>641</v>
      </c>
    </row>
    <row r="13" spans="1:3" x14ac:dyDescent="0.35">
      <c r="A13" s="4" t="s">
        <v>621</v>
      </c>
      <c r="B13" s="18" t="s">
        <v>0</v>
      </c>
      <c r="C13" s="4" t="s">
        <v>642</v>
      </c>
    </row>
    <row r="14" spans="1:3" x14ac:dyDescent="0.35">
      <c r="A14" s="4" t="s">
        <v>622</v>
      </c>
      <c r="B14" s="18" t="s">
        <v>3</v>
      </c>
      <c r="C14" s="4" t="s">
        <v>643</v>
      </c>
    </row>
    <row r="15" spans="1:3" ht="20.5" customHeight="1" x14ac:dyDescent="0.35">
      <c r="A15" s="4" t="s">
        <v>644</v>
      </c>
      <c r="B15" s="18" t="s">
        <v>6</v>
      </c>
      <c r="C15" s="4" t="s">
        <v>642</v>
      </c>
    </row>
    <row r="16" spans="1:3" s="6" customFormat="1" ht="18.5" customHeight="1" x14ac:dyDescent="0.35">
      <c r="A16" s="4" t="s">
        <v>645</v>
      </c>
      <c r="B16" s="4" t="s">
        <v>7</v>
      </c>
      <c r="C16" s="4" t="s">
        <v>642</v>
      </c>
    </row>
    <row r="17" spans="1:3" s="11" customFormat="1" x14ac:dyDescent="0.35">
      <c r="A17" s="18" t="s">
        <v>646</v>
      </c>
      <c r="B17" s="18" t="s">
        <v>1</v>
      </c>
      <c r="C17" s="18" t="s">
        <v>642</v>
      </c>
    </row>
    <row r="18" spans="1:3" x14ac:dyDescent="0.35">
      <c r="A18" s="4" t="s">
        <v>647</v>
      </c>
      <c r="B18" s="18" t="s">
        <v>14</v>
      </c>
      <c r="C18" s="4" t="s">
        <v>600</v>
      </c>
    </row>
    <row r="19" spans="1:3" x14ac:dyDescent="0.35">
      <c r="A19" s="4" t="s">
        <v>5</v>
      </c>
      <c r="B19" s="18" t="s">
        <v>5</v>
      </c>
      <c r="C19" s="4" t="s">
        <v>600</v>
      </c>
    </row>
    <row r="20" spans="1:3" s="6" customFormat="1" ht="29" x14ac:dyDescent="0.35">
      <c r="A20" s="6" t="s">
        <v>652</v>
      </c>
      <c r="B20" s="4" t="s">
        <v>8</v>
      </c>
      <c r="C20" s="4" t="s">
        <v>648</v>
      </c>
    </row>
    <row r="21" spans="1:3" x14ac:dyDescent="0.35">
      <c r="A21" s="4" t="s">
        <v>649</v>
      </c>
      <c r="B21" s="18" t="s">
        <v>11</v>
      </c>
      <c r="C21" s="4" t="s">
        <v>642</v>
      </c>
    </row>
    <row r="22" spans="1:3" x14ac:dyDescent="0.35">
      <c r="A22" s="4" t="s">
        <v>623</v>
      </c>
      <c r="B22" s="18" t="s">
        <v>2</v>
      </c>
      <c r="C22" s="4" t="s">
        <v>643</v>
      </c>
    </row>
    <row r="23" spans="1:3" x14ac:dyDescent="0.35">
      <c r="A23" s="4" t="s">
        <v>650</v>
      </c>
      <c r="B23" s="18" t="s">
        <v>13</v>
      </c>
      <c r="C23" s="4" t="s">
        <v>651</v>
      </c>
    </row>
    <row r="25" spans="1:3" x14ac:dyDescent="0.35">
      <c r="A25" s="23" t="s">
        <v>653</v>
      </c>
      <c r="B25" s="23"/>
      <c r="C25" s="23"/>
    </row>
    <row r="26" spans="1:3" x14ac:dyDescent="0.35">
      <c r="A26" s="3" t="s">
        <v>654</v>
      </c>
      <c r="B26" s="20" t="s">
        <v>617</v>
      </c>
      <c r="C26" s="3" t="s">
        <v>655</v>
      </c>
    </row>
    <row r="27" spans="1:3" x14ac:dyDescent="0.35">
      <c r="A27" s="4" t="s">
        <v>663</v>
      </c>
      <c r="B27" s="9" t="s">
        <v>656</v>
      </c>
      <c r="C27" s="4" t="s">
        <v>657</v>
      </c>
    </row>
    <row r="28" spans="1:3" x14ac:dyDescent="0.35">
      <c r="A28" s="4" t="s">
        <v>618</v>
      </c>
      <c r="B28" s="9">
        <v>500</v>
      </c>
      <c r="C28" s="4" t="s">
        <v>657</v>
      </c>
    </row>
    <row r="29" spans="1:3" x14ac:dyDescent="0.35">
      <c r="A29" s="4" t="s">
        <v>619</v>
      </c>
      <c r="B29" s="9">
        <v>500</v>
      </c>
      <c r="C29" s="4" t="s">
        <v>657</v>
      </c>
    </row>
    <row r="30" spans="1:3" x14ac:dyDescent="0.35">
      <c r="A30" s="4" t="s">
        <v>664</v>
      </c>
      <c r="B30" s="9" t="s">
        <v>658</v>
      </c>
      <c r="C30" s="4" t="s">
        <v>659</v>
      </c>
    </row>
    <row r="31" spans="1:3" x14ac:dyDescent="0.35">
      <c r="A31" s="4" t="s">
        <v>665</v>
      </c>
      <c r="B31" s="9" t="s">
        <v>660</v>
      </c>
      <c r="C31" s="4" t="s">
        <v>659</v>
      </c>
    </row>
    <row r="32" spans="1:3" x14ac:dyDescent="0.35">
      <c r="A32" s="4" t="s">
        <v>666</v>
      </c>
      <c r="B32" s="9" t="s">
        <v>660</v>
      </c>
      <c r="C32" s="4" t="s">
        <v>659</v>
      </c>
    </row>
    <row r="33" spans="1:3" x14ac:dyDescent="0.35">
      <c r="A33" s="4" t="s">
        <v>661</v>
      </c>
      <c r="B33" s="9" t="s">
        <v>662</v>
      </c>
      <c r="C33" s="4" t="s">
        <v>657</v>
      </c>
    </row>
    <row r="35" spans="1:3" x14ac:dyDescent="0.35">
      <c r="A35" s="23" t="s">
        <v>667</v>
      </c>
      <c r="B35" s="23"/>
      <c r="C35" s="23"/>
    </row>
    <row r="36" spans="1:3" ht="101.5" x14ac:dyDescent="0.35">
      <c r="A36" s="18" t="s">
        <v>668</v>
      </c>
    </row>
    <row r="37" spans="1:3" x14ac:dyDescent="0.35">
      <c r="A37" s="11"/>
    </row>
    <row r="38" spans="1:3" x14ac:dyDescent="0.35">
      <c r="A38" s="27" t="s">
        <v>669</v>
      </c>
      <c r="B38" s="27"/>
      <c r="C38" s="27"/>
    </row>
    <row r="39" spans="1:3" ht="116" x14ac:dyDescent="0.35">
      <c r="A39" s="22" t="s">
        <v>670</v>
      </c>
    </row>
    <row r="41" spans="1:3" x14ac:dyDescent="0.35">
      <c r="A41" s="27" t="s">
        <v>671</v>
      </c>
      <c r="B41" s="27"/>
      <c r="C41" s="27"/>
    </row>
    <row r="42" spans="1:3" ht="101.5" x14ac:dyDescent="0.35">
      <c r="A42" s="21" t="s">
        <v>672</v>
      </c>
    </row>
    <row r="44" spans="1:3" x14ac:dyDescent="0.35">
      <c r="A44" s="27" t="s">
        <v>673</v>
      </c>
      <c r="B44" s="27"/>
      <c r="C44" s="27"/>
    </row>
    <row r="45" spans="1:3" ht="58" x14ac:dyDescent="0.35">
      <c r="A45" s="7" t="s">
        <v>674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B752-AF5B-4765-9259-7F603FA81268}">
  <dimension ref="A1:G12"/>
  <sheetViews>
    <sheetView topLeftCell="A5" zoomScale="70" zoomScaleNormal="70" workbookViewId="0">
      <selection activeCell="E6" sqref="E6"/>
    </sheetView>
  </sheetViews>
  <sheetFormatPr defaultRowHeight="14.5" x14ac:dyDescent="0.35"/>
  <cols>
    <col min="1" max="1" width="8.6328125" customWidth="1"/>
    <col min="2" max="2" width="15.08984375" style="5" customWidth="1"/>
    <col min="3" max="3" width="12.1796875" customWidth="1"/>
    <col min="4" max="4" width="12" customWidth="1"/>
    <col min="5" max="5" width="49.1796875" bestFit="1" customWidth="1"/>
    <col min="6" max="6" width="7.90625" bestFit="1" customWidth="1"/>
    <col min="7" max="7" width="93" style="6" bestFit="1" customWidth="1"/>
    <col min="8" max="8" width="8.7265625" customWidth="1"/>
  </cols>
  <sheetData>
    <row r="1" spans="1:7" ht="29" x14ac:dyDescent="0.35">
      <c r="A1" s="15" t="s">
        <v>556</v>
      </c>
      <c r="B1" s="14" t="s">
        <v>557</v>
      </c>
      <c r="C1" s="15" t="s">
        <v>558</v>
      </c>
      <c r="D1" s="15" t="s">
        <v>559</v>
      </c>
      <c r="E1" s="15" t="s">
        <v>560</v>
      </c>
      <c r="F1" s="15" t="s">
        <v>561</v>
      </c>
      <c r="G1" s="16" t="s">
        <v>562</v>
      </c>
    </row>
    <row r="2" spans="1:7" ht="43.5" x14ac:dyDescent="0.35">
      <c r="A2" s="4" t="s">
        <v>563</v>
      </c>
      <c r="B2" s="5" t="s">
        <v>0</v>
      </c>
      <c r="C2" s="4" t="s">
        <v>564</v>
      </c>
      <c r="D2" s="4" t="s">
        <v>565</v>
      </c>
      <c r="E2" s="4" t="s">
        <v>566</v>
      </c>
      <c r="F2" s="9" t="s">
        <v>598</v>
      </c>
      <c r="G2" t="s">
        <v>605</v>
      </c>
    </row>
    <row r="3" spans="1:7" ht="43.5" x14ac:dyDescent="0.35">
      <c r="A3" s="4" t="s">
        <v>567</v>
      </c>
      <c r="B3" s="4" t="s">
        <v>3</v>
      </c>
      <c r="C3" s="4" t="s">
        <v>568</v>
      </c>
      <c r="D3" s="4" t="s">
        <v>569</v>
      </c>
      <c r="E3" s="4" t="s">
        <v>570</v>
      </c>
      <c r="F3" s="9">
        <v>76</v>
      </c>
      <c r="G3" t="s">
        <v>606</v>
      </c>
    </row>
    <row r="4" spans="1:7" ht="29" x14ac:dyDescent="0.35">
      <c r="A4" s="4" t="s">
        <v>571</v>
      </c>
      <c r="B4" s="4" t="s">
        <v>6</v>
      </c>
      <c r="C4" s="4" t="s">
        <v>572</v>
      </c>
      <c r="D4" s="4" t="s">
        <v>573</v>
      </c>
      <c r="E4" s="4" t="s">
        <v>574</v>
      </c>
      <c r="F4" s="9">
        <v>121</v>
      </c>
      <c r="G4" t="s">
        <v>607</v>
      </c>
    </row>
    <row r="5" spans="1:7" ht="29" x14ac:dyDescent="0.35">
      <c r="A5" s="4" t="s">
        <v>575</v>
      </c>
      <c r="B5" s="4" t="s">
        <v>7</v>
      </c>
      <c r="C5" s="4" t="s">
        <v>572</v>
      </c>
      <c r="D5" s="4" t="s">
        <v>576</v>
      </c>
      <c r="E5" s="4" t="s">
        <v>577</v>
      </c>
      <c r="F5" s="9">
        <v>166</v>
      </c>
      <c r="G5" t="s">
        <v>608</v>
      </c>
    </row>
    <row r="6" spans="1:7" ht="43.5" x14ac:dyDescent="0.35">
      <c r="A6" s="4" t="s">
        <v>578</v>
      </c>
      <c r="B6" s="4" t="s">
        <v>1</v>
      </c>
      <c r="C6" s="4" t="s">
        <v>572</v>
      </c>
      <c r="D6" s="4" t="s">
        <v>579</v>
      </c>
      <c r="E6" s="4" t="s">
        <v>580</v>
      </c>
      <c r="F6" s="9">
        <v>211</v>
      </c>
      <c r="G6" s="10" t="s">
        <v>603</v>
      </c>
    </row>
    <row r="7" spans="1:7" ht="29" x14ac:dyDescent="0.35">
      <c r="A7" s="4" t="s">
        <v>581</v>
      </c>
      <c r="B7" s="4" t="s">
        <v>14</v>
      </c>
      <c r="C7" s="4" t="s">
        <v>582</v>
      </c>
      <c r="D7" s="4" t="s">
        <v>583</v>
      </c>
      <c r="E7" s="4" t="s">
        <v>584</v>
      </c>
      <c r="F7" s="9" t="s">
        <v>599</v>
      </c>
      <c r="G7" s="5" t="s">
        <v>600</v>
      </c>
    </row>
    <row r="8" spans="1:7" ht="29" x14ac:dyDescent="0.35">
      <c r="A8" s="4" t="s">
        <v>585</v>
      </c>
      <c r="B8" s="4" t="s">
        <v>5</v>
      </c>
      <c r="C8" s="4" t="s">
        <v>582</v>
      </c>
      <c r="D8" s="4" t="s">
        <v>583</v>
      </c>
      <c r="E8" s="4" t="s">
        <v>586</v>
      </c>
      <c r="F8" s="9" t="s">
        <v>599</v>
      </c>
      <c r="G8" s="5" t="s">
        <v>600</v>
      </c>
    </row>
    <row r="9" spans="1:7" ht="29" x14ac:dyDescent="0.35">
      <c r="A9" s="4" t="s">
        <v>587</v>
      </c>
      <c r="B9" s="4" t="s">
        <v>8</v>
      </c>
      <c r="C9" s="4" t="s">
        <v>572</v>
      </c>
      <c r="D9" s="4" t="s">
        <v>588</v>
      </c>
      <c r="E9" s="4" t="s">
        <v>589</v>
      </c>
      <c r="F9" s="4">
        <v>346</v>
      </c>
      <c r="G9" t="s">
        <v>609</v>
      </c>
    </row>
    <row r="10" spans="1:7" ht="29" x14ac:dyDescent="0.35">
      <c r="A10" s="4" t="s">
        <v>590</v>
      </c>
      <c r="B10" s="4" t="s">
        <v>11</v>
      </c>
      <c r="C10" s="4" t="s">
        <v>572</v>
      </c>
      <c r="D10" s="4" t="s">
        <v>591</v>
      </c>
      <c r="E10" s="5" t="s">
        <v>602</v>
      </c>
      <c r="F10" s="4">
        <v>391</v>
      </c>
      <c r="G10" t="s">
        <v>610</v>
      </c>
    </row>
    <row r="11" spans="1:7" ht="29" x14ac:dyDescent="0.35">
      <c r="A11" s="4" t="s">
        <v>592</v>
      </c>
      <c r="B11" s="4" t="s">
        <v>2</v>
      </c>
      <c r="C11" s="4" t="s">
        <v>568</v>
      </c>
      <c r="D11" s="4" t="s">
        <v>593</v>
      </c>
      <c r="E11" s="4" t="s">
        <v>594</v>
      </c>
      <c r="F11" s="4">
        <v>436</v>
      </c>
      <c r="G11" s="5" t="s">
        <v>611</v>
      </c>
    </row>
    <row r="12" spans="1:7" ht="58" x14ac:dyDescent="0.35">
      <c r="A12" s="4" t="s">
        <v>595</v>
      </c>
      <c r="B12" s="4" t="s">
        <v>13</v>
      </c>
      <c r="C12" s="4" t="s">
        <v>596</v>
      </c>
      <c r="D12" s="4" t="s">
        <v>597</v>
      </c>
      <c r="E12" s="5" t="s">
        <v>601</v>
      </c>
      <c r="F12" s="4">
        <v>481</v>
      </c>
      <c r="G12" s="5" t="s">
        <v>604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C3AB7-02FA-4B0E-9D76-04A60A237221}">
  <dimension ref="A1:O501"/>
  <sheetViews>
    <sheetView zoomScale="67" zoomScaleNormal="67" workbookViewId="0">
      <pane ySplit="1" topLeftCell="A472" activePane="bottomLeft" state="frozen"/>
      <selection activeCell="F1" sqref="F1"/>
      <selection pane="bottomLeft" activeCell="K481" sqref="K481"/>
    </sheetView>
  </sheetViews>
  <sheetFormatPr defaultRowHeight="14.5" x14ac:dyDescent="0.35"/>
  <cols>
    <col min="1" max="1" width="14.08984375" bestFit="1" customWidth="1"/>
    <col min="2" max="2" width="19.1796875" bestFit="1" customWidth="1"/>
    <col min="3" max="3" width="16.36328125" bestFit="1" customWidth="1"/>
    <col min="4" max="4" width="19.54296875" bestFit="1" customWidth="1"/>
    <col min="5" max="5" width="19.1796875" bestFit="1" customWidth="1"/>
    <col min="6" max="6" width="13.1796875" bestFit="1" customWidth="1"/>
    <col min="7" max="7" width="12.7265625" bestFit="1" customWidth="1"/>
    <col min="8" max="8" width="14" bestFit="1" customWidth="1"/>
    <col min="9" max="9" width="17.6328125" bestFit="1" customWidth="1"/>
    <col min="10" max="10" width="12.453125" bestFit="1" customWidth="1"/>
    <col min="11" max="11" width="20.6328125" bestFit="1" customWidth="1"/>
    <col min="12" max="12" width="13.08984375" bestFit="1" customWidth="1"/>
    <col min="13" max="13" width="16.08984375" bestFit="1" customWidth="1"/>
    <col min="14" max="14" width="17.6328125" customWidth="1"/>
    <col min="15" max="15" width="19.1796875" bestFit="1" customWidth="1"/>
  </cols>
  <sheetData>
    <row r="1" spans="1:15" x14ac:dyDescent="0.3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row>
    <row r="2" spans="1:15" x14ac:dyDescent="0.35">
      <c r="A2" t="s">
        <v>15</v>
      </c>
      <c r="B2" s="2">
        <v>46098</v>
      </c>
      <c r="C2" t="s">
        <v>16</v>
      </c>
      <c r="D2" t="s">
        <v>17</v>
      </c>
      <c r="E2" t="s">
        <v>18</v>
      </c>
      <c r="F2" t="s">
        <v>19</v>
      </c>
      <c r="G2">
        <v>7</v>
      </c>
      <c r="H2">
        <v>680840.47</v>
      </c>
      <c r="I2">
        <v>0.1</v>
      </c>
      <c r="J2">
        <v>4765883.29</v>
      </c>
      <c r="K2">
        <v>476588.33</v>
      </c>
      <c r="L2">
        <v>7.4999999999999997E-2</v>
      </c>
      <c r="M2">
        <v>321697.12</v>
      </c>
      <c r="N2">
        <v>4610992.08</v>
      </c>
      <c r="O2" t="s">
        <v>20</v>
      </c>
    </row>
    <row r="3" spans="1:15" x14ac:dyDescent="0.35">
      <c r="A3" t="s">
        <v>21</v>
      </c>
      <c r="B3" s="2">
        <v>46229</v>
      </c>
      <c r="C3" t="s">
        <v>22</v>
      </c>
      <c r="D3" t="s">
        <v>23</v>
      </c>
      <c r="E3" t="s">
        <v>24</v>
      </c>
      <c r="F3" t="s">
        <v>19</v>
      </c>
      <c r="G3">
        <v>7</v>
      </c>
      <c r="H3">
        <v>17844</v>
      </c>
      <c r="I3">
        <v>0.1</v>
      </c>
      <c r="J3">
        <v>124908</v>
      </c>
      <c r="K3">
        <v>12490.8</v>
      </c>
      <c r="L3">
        <v>7.4999999999999997E-2</v>
      </c>
      <c r="M3">
        <v>8431.2900000000009</v>
      </c>
      <c r="N3">
        <v>120848.49</v>
      </c>
      <c r="O3" t="s">
        <v>25</v>
      </c>
    </row>
    <row r="4" spans="1:15" x14ac:dyDescent="0.35">
      <c r="A4" t="s">
        <v>26</v>
      </c>
      <c r="B4" s="2">
        <v>46079</v>
      </c>
      <c r="C4" t="s">
        <v>27</v>
      </c>
      <c r="D4" t="s">
        <v>28</v>
      </c>
      <c r="E4" t="s">
        <v>29</v>
      </c>
      <c r="F4" t="s">
        <v>30</v>
      </c>
      <c r="G4">
        <v>4</v>
      </c>
      <c r="H4">
        <v>89571.58</v>
      </c>
      <c r="I4">
        <v>0.1</v>
      </c>
      <c r="J4">
        <v>358286.32</v>
      </c>
      <c r="K4">
        <v>35828.629999999997</v>
      </c>
      <c r="L4">
        <v>0.1</v>
      </c>
      <c r="M4">
        <v>32245.77</v>
      </c>
      <c r="N4">
        <v>354703.46</v>
      </c>
      <c r="O4" t="s">
        <v>25</v>
      </c>
    </row>
    <row r="5" spans="1:15" x14ac:dyDescent="0.35">
      <c r="A5" t="s">
        <v>31</v>
      </c>
      <c r="B5" s="2">
        <v>46214</v>
      </c>
      <c r="C5" t="s">
        <v>32</v>
      </c>
      <c r="D5" t="s">
        <v>33</v>
      </c>
      <c r="E5" t="s">
        <v>34</v>
      </c>
      <c r="F5" t="s">
        <v>30</v>
      </c>
      <c r="G5">
        <v>4</v>
      </c>
      <c r="H5">
        <v>12842.02</v>
      </c>
      <c r="I5">
        <v>0.05</v>
      </c>
      <c r="J5">
        <v>51368.08</v>
      </c>
      <c r="K5">
        <v>2568.4</v>
      </c>
      <c r="L5">
        <v>0.1</v>
      </c>
      <c r="M5">
        <v>4879.97</v>
      </c>
      <c r="N5">
        <v>53679.65</v>
      </c>
      <c r="O5" t="s">
        <v>35</v>
      </c>
    </row>
    <row r="6" spans="1:15" x14ac:dyDescent="0.35">
      <c r="A6" t="s">
        <v>36</v>
      </c>
      <c r="B6" s="2">
        <v>46115</v>
      </c>
      <c r="C6" t="s">
        <v>37</v>
      </c>
      <c r="D6" t="s">
        <v>38</v>
      </c>
      <c r="E6" t="s">
        <v>39</v>
      </c>
      <c r="F6" t="s">
        <v>40</v>
      </c>
      <c r="G6">
        <v>4</v>
      </c>
      <c r="H6">
        <v>152679.67999999999</v>
      </c>
      <c r="I6">
        <v>0</v>
      </c>
      <c r="J6">
        <v>610718.71999999997</v>
      </c>
      <c r="K6">
        <v>0</v>
      </c>
      <c r="L6">
        <v>0.1</v>
      </c>
      <c r="M6">
        <v>61071.87</v>
      </c>
      <c r="N6">
        <v>671790.59</v>
      </c>
      <c r="O6" t="s">
        <v>35</v>
      </c>
    </row>
    <row r="7" spans="1:15" x14ac:dyDescent="0.35">
      <c r="A7" t="s">
        <v>41</v>
      </c>
      <c r="B7" s="2">
        <v>46214</v>
      </c>
      <c r="C7" t="s">
        <v>42</v>
      </c>
      <c r="D7" t="s">
        <v>43</v>
      </c>
      <c r="E7" t="s">
        <v>44</v>
      </c>
      <c r="F7" t="s">
        <v>45</v>
      </c>
      <c r="G7">
        <v>3</v>
      </c>
      <c r="H7">
        <v>83638.11</v>
      </c>
      <c r="I7">
        <v>0.15</v>
      </c>
      <c r="J7">
        <v>250914.33</v>
      </c>
      <c r="K7">
        <v>37637.15</v>
      </c>
      <c r="L7">
        <v>0.1</v>
      </c>
      <c r="M7">
        <v>21327.72</v>
      </c>
      <c r="N7">
        <v>234604.9</v>
      </c>
      <c r="O7" t="s">
        <v>35</v>
      </c>
    </row>
    <row r="8" spans="1:15" x14ac:dyDescent="0.35">
      <c r="A8" t="s">
        <v>46</v>
      </c>
      <c r="B8" s="2">
        <v>46134</v>
      </c>
      <c r="C8" t="s">
        <v>47</v>
      </c>
      <c r="D8" t="s">
        <v>48</v>
      </c>
      <c r="E8" t="s">
        <v>49</v>
      </c>
      <c r="F8" t="s">
        <v>50</v>
      </c>
      <c r="G8">
        <v>6</v>
      </c>
      <c r="H8">
        <v>112139.64</v>
      </c>
      <c r="I8">
        <v>0.05</v>
      </c>
      <c r="J8">
        <v>672837.84</v>
      </c>
      <c r="K8">
        <v>33641.89</v>
      </c>
      <c r="L8">
        <v>7.4999999999999997E-2</v>
      </c>
      <c r="M8">
        <v>47939.7</v>
      </c>
      <c r="N8">
        <v>687135.65</v>
      </c>
      <c r="O8" t="s">
        <v>35</v>
      </c>
    </row>
    <row r="9" spans="1:15" x14ac:dyDescent="0.35">
      <c r="A9" t="s">
        <v>51</v>
      </c>
      <c r="B9" s="2">
        <v>46047</v>
      </c>
      <c r="C9" t="s">
        <v>52</v>
      </c>
      <c r="D9" t="s">
        <v>53</v>
      </c>
      <c r="E9" t="s">
        <v>54</v>
      </c>
      <c r="F9" t="s">
        <v>50</v>
      </c>
      <c r="G9">
        <v>1</v>
      </c>
      <c r="H9">
        <v>92743.21</v>
      </c>
      <c r="I9">
        <v>0.1</v>
      </c>
      <c r="J9">
        <v>92743.21</v>
      </c>
      <c r="K9">
        <v>9274.32</v>
      </c>
      <c r="L9">
        <v>7.4999999999999997E-2</v>
      </c>
      <c r="M9">
        <v>6260.17</v>
      </c>
      <c r="N9">
        <v>89729.06</v>
      </c>
      <c r="O9" t="s">
        <v>35</v>
      </c>
    </row>
    <row r="10" spans="1:15" x14ac:dyDescent="0.35">
      <c r="A10" t="s">
        <v>55</v>
      </c>
      <c r="B10" s="2">
        <v>46035</v>
      </c>
      <c r="C10" t="s">
        <v>56</v>
      </c>
      <c r="D10" t="s">
        <v>57</v>
      </c>
      <c r="E10" t="s">
        <v>58</v>
      </c>
      <c r="F10" t="s">
        <v>19</v>
      </c>
      <c r="G10">
        <v>2</v>
      </c>
      <c r="H10">
        <v>26795.54</v>
      </c>
      <c r="I10">
        <v>0.15</v>
      </c>
      <c r="J10">
        <v>53591.08</v>
      </c>
      <c r="K10">
        <v>8038.66</v>
      </c>
      <c r="L10">
        <v>0.1</v>
      </c>
      <c r="M10">
        <v>4555.24</v>
      </c>
      <c r="N10">
        <v>50107.66</v>
      </c>
      <c r="O10" t="s">
        <v>35</v>
      </c>
    </row>
    <row r="11" spans="1:15" x14ac:dyDescent="0.35">
      <c r="A11" t="s">
        <v>59</v>
      </c>
      <c r="B11" s="2">
        <v>46225</v>
      </c>
      <c r="C11" t="s">
        <v>60</v>
      </c>
      <c r="D11" t="s">
        <v>61</v>
      </c>
      <c r="E11" t="s">
        <v>62</v>
      </c>
      <c r="F11" t="s">
        <v>19</v>
      </c>
      <c r="G11">
        <v>2</v>
      </c>
      <c r="H11">
        <v>226485</v>
      </c>
      <c r="I11">
        <v>0.1</v>
      </c>
      <c r="J11">
        <v>452970</v>
      </c>
      <c r="K11">
        <v>45297</v>
      </c>
      <c r="L11">
        <v>0.1</v>
      </c>
      <c r="M11">
        <v>40767.300000000003</v>
      </c>
      <c r="N11">
        <v>448440.3</v>
      </c>
      <c r="O11" t="s">
        <v>20</v>
      </c>
    </row>
    <row r="12" spans="1:15" x14ac:dyDescent="0.35">
      <c r="A12" t="s">
        <v>63</v>
      </c>
      <c r="B12" s="2">
        <v>46076</v>
      </c>
      <c r="C12" t="s">
        <v>16</v>
      </c>
      <c r="D12" t="s">
        <v>17</v>
      </c>
      <c r="E12" t="s">
        <v>18</v>
      </c>
      <c r="F12" t="s">
        <v>19</v>
      </c>
      <c r="G12">
        <v>7</v>
      </c>
      <c r="H12">
        <v>616029.92000000004</v>
      </c>
      <c r="I12">
        <v>0</v>
      </c>
      <c r="J12">
        <v>4312209.4400000004</v>
      </c>
      <c r="K12">
        <v>0</v>
      </c>
      <c r="L12">
        <v>0.1</v>
      </c>
      <c r="M12">
        <v>431220.94</v>
      </c>
      <c r="N12">
        <v>4743430.38</v>
      </c>
      <c r="O12" t="s">
        <v>20</v>
      </c>
    </row>
    <row r="13" spans="1:15" x14ac:dyDescent="0.35">
      <c r="A13" t="s">
        <v>64</v>
      </c>
      <c r="B13" s="2">
        <v>46030</v>
      </c>
      <c r="C13" t="s">
        <v>22</v>
      </c>
      <c r="D13" t="s">
        <v>23</v>
      </c>
      <c r="E13" t="s">
        <v>24</v>
      </c>
      <c r="F13" t="s">
        <v>19</v>
      </c>
      <c r="G13">
        <v>2</v>
      </c>
      <c r="H13">
        <v>17784.45</v>
      </c>
      <c r="I13">
        <v>0.05</v>
      </c>
      <c r="J13">
        <v>35568.9</v>
      </c>
      <c r="K13">
        <v>1778.45</v>
      </c>
      <c r="L13">
        <v>0.1</v>
      </c>
      <c r="M13">
        <v>3379.05</v>
      </c>
      <c r="N13">
        <v>37169.5</v>
      </c>
      <c r="O13" t="s">
        <v>35</v>
      </c>
    </row>
    <row r="14" spans="1:15" x14ac:dyDescent="0.35">
      <c r="A14" t="s">
        <v>65</v>
      </c>
      <c r="B14" s="2">
        <v>46228</v>
      </c>
      <c r="C14" t="s">
        <v>27</v>
      </c>
      <c r="D14" t="s">
        <v>28</v>
      </c>
      <c r="E14" t="s">
        <v>29</v>
      </c>
      <c r="F14" t="s">
        <v>30</v>
      </c>
      <c r="G14">
        <v>7</v>
      </c>
      <c r="H14">
        <v>100202.73</v>
      </c>
      <c r="I14">
        <v>0.15</v>
      </c>
      <c r="J14">
        <v>701419.11</v>
      </c>
      <c r="K14">
        <v>105212.87</v>
      </c>
      <c r="L14">
        <v>0.1</v>
      </c>
      <c r="M14">
        <v>59620.62</v>
      </c>
      <c r="N14">
        <v>655826.86</v>
      </c>
      <c r="O14" t="s">
        <v>25</v>
      </c>
    </row>
    <row r="15" spans="1:15" x14ac:dyDescent="0.35">
      <c r="A15" t="s">
        <v>66</v>
      </c>
      <c r="B15" s="2">
        <v>46232</v>
      </c>
      <c r="C15" t="s">
        <v>32</v>
      </c>
      <c r="D15" t="s">
        <v>33</v>
      </c>
      <c r="E15" t="s">
        <v>34</v>
      </c>
      <c r="F15" t="s">
        <v>30</v>
      </c>
      <c r="G15">
        <v>6</v>
      </c>
      <c r="H15">
        <v>12436.36</v>
      </c>
      <c r="I15">
        <v>0.1</v>
      </c>
      <c r="J15">
        <v>74618.16</v>
      </c>
      <c r="K15">
        <v>7461.82</v>
      </c>
      <c r="L15">
        <v>0.1</v>
      </c>
      <c r="M15">
        <v>6715.63</v>
      </c>
      <c r="N15">
        <v>73871.97</v>
      </c>
      <c r="O15" t="s">
        <v>35</v>
      </c>
    </row>
    <row r="16" spans="1:15" x14ac:dyDescent="0.35">
      <c r="A16" t="s">
        <v>67</v>
      </c>
      <c r="B16" s="2">
        <v>46263</v>
      </c>
      <c r="C16" t="s">
        <v>37</v>
      </c>
      <c r="D16" t="s">
        <v>38</v>
      </c>
      <c r="E16" t="s">
        <v>39</v>
      </c>
      <c r="F16" t="s">
        <v>40</v>
      </c>
      <c r="G16">
        <v>1</v>
      </c>
      <c r="H16">
        <v>161068.13</v>
      </c>
      <c r="I16">
        <v>0</v>
      </c>
      <c r="J16">
        <v>161068.13</v>
      </c>
      <c r="K16">
        <v>0</v>
      </c>
      <c r="L16">
        <v>0.1</v>
      </c>
      <c r="M16">
        <v>16106.81</v>
      </c>
      <c r="N16">
        <v>177174.94</v>
      </c>
      <c r="O16" t="s">
        <v>35</v>
      </c>
    </row>
    <row r="17" spans="1:15" x14ac:dyDescent="0.35">
      <c r="A17" t="s">
        <v>68</v>
      </c>
      <c r="B17" s="2">
        <v>46214</v>
      </c>
      <c r="C17" t="s">
        <v>42</v>
      </c>
      <c r="D17" t="s">
        <v>43</v>
      </c>
      <c r="E17" t="s">
        <v>44</v>
      </c>
      <c r="F17" t="s">
        <v>45</v>
      </c>
      <c r="G17">
        <v>5</v>
      </c>
      <c r="H17">
        <v>86179.82</v>
      </c>
      <c r="I17">
        <v>0</v>
      </c>
      <c r="J17">
        <v>430899.1</v>
      </c>
      <c r="K17">
        <v>0</v>
      </c>
      <c r="L17">
        <v>0.1</v>
      </c>
      <c r="M17">
        <v>43089.91</v>
      </c>
      <c r="N17">
        <v>473989.01</v>
      </c>
      <c r="O17" t="s">
        <v>35</v>
      </c>
    </row>
    <row r="18" spans="1:15" x14ac:dyDescent="0.35">
      <c r="A18" t="s">
        <v>69</v>
      </c>
      <c r="B18" s="2">
        <v>46115</v>
      </c>
      <c r="C18" t="s">
        <v>47</v>
      </c>
      <c r="D18" t="s">
        <v>48</v>
      </c>
      <c r="E18" t="s">
        <v>49</v>
      </c>
      <c r="F18" t="s">
        <v>50</v>
      </c>
      <c r="G18">
        <v>1</v>
      </c>
      <c r="H18">
        <v>116088.45</v>
      </c>
      <c r="I18">
        <v>0</v>
      </c>
      <c r="J18">
        <v>116088.45</v>
      </c>
      <c r="K18">
        <v>0</v>
      </c>
      <c r="L18">
        <v>7.4999999999999997E-2</v>
      </c>
      <c r="M18">
        <v>8706.6299999999992</v>
      </c>
      <c r="N18">
        <v>124795.08</v>
      </c>
      <c r="O18" t="s">
        <v>25</v>
      </c>
    </row>
    <row r="19" spans="1:15" x14ac:dyDescent="0.35">
      <c r="A19" t="s">
        <v>70</v>
      </c>
      <c r="B19" s="2">
        <v>46165</v>
      </c>
      <c r="C19" t="s">
        <v>52</v>
      </c>
      <c r="D19" t="s">
        <v>53</v>
      </c>
      <c r="E19" t="s">
        <v>54</v>
      </c>
      <c r="F19" t="s">
        <v>50</v>
      </c>
      <c r="G19">
        <v>1</v>
      </c>
      <c r="H19">
        <v>95179.45</v>
      </c>
      <c r="I19">
        <v>0.15</v>
      </c>
      <c r="J19">
        <v>95179.45</v>
      </c>
      <c r="K19">
        <v>14276.92</v>
      </c>
      <c r="L19">
        <v>7.4999999999999997E-2</v>
      </c>
      <c r="M19">
        <v>6067.69</v>
      </c>
      <c r="N19">
        <v>86970.22</v>
      </c>
      <c r="O19" t="s">
        <v>35</v>
      </c>
    </row>
    <row r="20" spans="1:15" x14ac:dyDescent="0.35">
      <c r="A20" t="s">
        <v>71</v>
      </c>
      <c r="B20" s="2">
        <v>46260</v>
      </c>
      <c r="C20" t="s">
        <v>56</v>
      </c>
      <c r="D20" t="s">
        <v>57</v>
      </c>
      <c r="E20" t="s">
        <v>58</v>
      </c>
      <c r="F20" t="s">
        <v>19</v>
      </c>
      <c r="G20">
        <v>3</v>
      </c>
      <c r="H20">
        <v>26160.7</v>
      </c>
      <c r="I20">
        <v>0.1</v>
      </c>
      <c r="J20">
        <v>78482.100000000006</v>
      </c>
      <c r="K20">
        <v>7848.21</v>
      </c>
      <c r="L20">
        <v>7.4999999999999997E-2</v>
      </c>
      <c r="M20">
        <v>5297.54</v>
      </c>
      <c r="N20">
        <v>75931.429999999993</v>
      </c>
      <c r="O20" t="s">
        <v>35</v>
      </c>
    </row>
    <row r="21" spans="1:15" x14ac:dyDescent="0.35">
      <c r="A21" t="s">
        <v>72</v>
      </c>
      <c r="B21" s="2">
        <v>46038</v>
      </c>
      <c r="C21" t="s">
        <v>60</v>
      </c>
      <c r="D21" t="s">
        <v>61</v>
      </c>
      <c r="E21" t="s">
        <v>62</v>
      </c>
      <c r="F21" t="s">
        <v>19</v>
      </c>
      <c r="G21">
        <v>1</v>
      </c>
      <c r="H21">
        <v>234606.58</v>
      </c>
      <c r="I21">
        <v>0</v>
      </c>
      <c r="J21">
        <v>234606.58</v>
      </c>
      <c r="K21">
        <v>0</v>
      </c>
      <c r="L21">
        <v>0.1</v>
      </c>
      <c r="M21">
        <v>23460.66</v>
      </c>
      <c r="N21">
        <v>258067.24</v>
      </c>
      <c r="O21" t="s">
        <v>35</v>
      </c>
    </row>
    <row r="22" spans="1:15" x14ac:dyDescent="0.35">
      <c r="A22" t="s">
        <v>73</v>
      </c>
      <c r="B22" s="2">
        <v>46125</v>
      </c>
      <c r="C22" t="s">
        <v>16</v>
      </c>
      <c r="D22" t="s">
        <v>17</v>
      </c>
      <c r="E22" t="s">
        <v>18</v>
      </c>
      <c r="F22" t="s">
        <v>19</v>
      </c>
      <c r="G22">
        <v>7</v>
      </c>
      <c r="H22">
        <v>630342.16</v>
      </c>
      <c r="I22">
        <v>0.15</v>
      </c>
      <c r="J22">
        <v>4412395.12</v>
      </c>
      <c r="K22">
        <v>661859.27</v>
      </c>
      <c r="L22">
        <v>7.4999999999999997E-2</v>
      </c>
      <c r="M22">
        <v>281290.19</v>
      </c>
      <c r="N22">
        <v>4031826.04</v>
      </c>
      <c r="O22" t="s">
        <v>20</v>
      </c>
    </row>
    <row r="23" spans="1:15" x14ac:dyDescent="0.35">
      <c r="A23" t="s">
        <v>74</v>
      </c>
      <c r="B23" s="2">
        <v>46127</v>
      </c>
      <c r="C23" t="s">
        <v>22</v>
      </c>
      <c r="D23" t="s">
        <v>23</v>
      </c>
      <c r="E23" t="s">
        <v>24</v>
      </c>
      <c r="F23" t="s">
        <v>19</v>
      </c>
      <c r="G23">
        <v>6</v>
      </c>
      <c r="H23">
        <v>19115.169999999998</v>
      </c>
      <c r="I23">
        <v>0</v>
      </c>
      <c r="J23">
        <v>114691.02</v>
      </c>
      <c r="K23">
        <v>0</v>
      </c>
      <c r="L23">
        <v>7.4999999999999997E-2</v>
      </c>
      <c r="M23">
        <v>8601.83</v>
      </c>
      <c r="N23">
        <v>123292.85</v>
      </c>
      <c r="O23" t="s">
        <v>25</v>
      </c>
    </row>
    <row r="24" spans="1:15" x14ac:dyDescent="0.35">
      <c r="A24" t="s">
        <v>75</v>
      </c>
      <c r="B24" s="2">
        <v>46168</v>
      </c>
      <c r="C24" t="s">
        <v>27</v>
      </c>
      <c r="D24" t="s">
        <v>28</v>
      </c>
      <c r="E24" t="s">
        <v>29</v>
      </c>
      <c r="F24" t="s">
        <v>30</v>
      </c>
      <c r="G24">
        <v>3</v>
      </c>
      <c r="H24">
        <v>98963.93</v>
      </c>
      <c r="I24">
        <v>0.05</v>
      </c>
      <c r="J24">
        <v>296891.78999999998</v>
      </c>
      <c r="K24">
        <v>14844.59</v>
      </c>
      <c r="L24">
        <v>7.4999999999999997E-2</v>
      </c>
      <c r="M24">
        <v>21153.54</v>
      </c>
      <c r="N24">
        <v>303200.74</v>
      </c>
      <c r="O24" t="s">
        <v>35</v>
      </c>
    </row>
    <row r="25" spans="1:15" x14ac:dyDescent="0.35">
      <c r="A25" t="s">
        <v>76</v>
      </c>
      <c r="B25" s="2">
        <v>46150</v>
      </c>
      <c r="C25" t="s">
        <v>32</v>
      </c>
      <c r="D25" t="s">
        <v>33</v>
      </c>
      <c r="E25" t="s">
        <v>34</v>
      </c>
      <c r="F25" t="s">
        <v>30</v>
      </c>
      <c r="G25">
        <v>1</v>
      </c>
      <c r="H25">
        <v>12404.47</v>
      </c>
      <c r="I25">
        <v>0.05</v>
      </c>
      <c r="J25">
        <v>12404.47</v>
      </c>
      <c r="K25">
        <v>620.22</v>
      </c>
      <c r="L25">
        <v>0.1</v>
      </c>
      <c r="M25">
        <v>1178.42</v>
      </c>
      <c r="N25">
        <v>12962.67</v>
      </c>
      <c r="O25" t="s">
        <v>35</v>
      </c>
    </row>
    <row r="26" spans="1:15" x14ac:dyDescent="0.35">
      <c r="A26" t="s">
        <v>76</v>
      </c>
      <c r="B26" s="2">
        <v>46122</v>
      </c>
      <c r="C26" t="s">
        <v>37</v>
      </c>
      <c r="D26" t="s">
        <v>38</v>
      </c>
      <c r="E26" t="s">
        <v>39</v>
      </c>
      <c r="F26" t="s">
        <v>40</v>
      </c>
      <c r="G26">
        <v>7</v>
      </c>
      <c r="H26">
        <v>159498.32999999999</v>
      </c>
      <c r="I26">
        <v>0</v>
      </c>
      <c r="J26">
        <v>1116488.31</v>
      </c>
      <c r="K26">
        <v>0</v>
      </c>
      <c r="L26">
        <v>0.1</v>
      </c>
      <c r="M26">
        <v>111648.83</v>
      </c>
      <c r="N26">
        <v>1228137.1399999999</v>
      </c>
      <c r="O26" t="s">
        <v>20</v>
      </c>
    </row>
    <row r="27" spans="1:15" x14ac:dyDescent="0.35">
      <c r="A27" t="s">
        <v>77</v>
      </c>
      <c r="B27" s="2">
        <v>46197</v>
      </c>
      <c r="C27" t="s">
        <v>42</v>
      </c>
      <c r="D27" t="s">
        <v>43</v>
      </c>
      <c r="E27" t="s">
        <v>44</v>
      </c>
      <c r="F27" t="s">
        <v>45</v>
      </c>
      <c r="G27">
        <v>5</v>
      </c>
      <c r="H27">
        <v>81590.37</v>
      </c>
      <c r="I27">
        <v>0</v>
      </c>
      <c r="J27">
        <v>407951.85</v>
      </c>
      <c r="K27">
        <v>0</v>
      </c>
      <c r="L27">
        <v>7.4999999999999997E-2</v>
      </c>
      <c r="M27">
        <v>30596.39</v>
      </c>
      <c r="N27">
        <v>438548.24</v>
      </c>
      <c r="O27" t="s">
        <v>35</v>
      </c>
    </row>
    <row r="28" spans="1:15" x14ac:dyDescent="0.35">
      <c r="A28" t="s">
        <v>78</v>
      </c>
      <c r="B28" s="2">
        <v>46112</v>
      </c>
      <c r="C28" t="s">
        <v>47</v>
      </c>
      <c r="D28" t="s">
        <v>48</v>
      </c>
      <c r="E28" t="s">
        <v>49</v>
      </c>
      <c r="F28" t="s">
        <v>50</v>
      </c>
      <c r="G28">
        <v>5</v>
      </c>
      <c r="H28">
        <v>111878.01</v>
      </c>
      <c r="I28">
        <v>0.1</v>
      </c>
      <c r="J28">
        <v>559390.05000000005</v>
      </c>
      <c r="K28">
        <v>55939</v>
      </c>
      <c r="L28">
        <v>7.4999999999999997E-2</v>
      </c>
      <c r="M28">
        <v>37758.83</v>
      </c>
      <c r="N28">
        <v>541209.88</v>
      </c>
      <c r="O28" t="s">
        <v>25</v>
      </c>
    </row>
    <row r="29" spans="1:15" x14ac:dyDescent="0.35">
      <c r="A29" t="s">
        <v>79</v>
      </c>
      <c r="B29" s="2">
        <v>46160</v>
      </c>
      <c r="C29" t="s">
        <v>52</v>
      </c>
      <c r="D29" t="s">
        <v>53</v>
      </c>
      <c r="E29" t="s">
        <v>54</v>
      </c>
      <c r="F29" t="s">
        <v>50</v>
      </c>
      <c r="G29">
        <v>2</v>
      </c>
      <c r="H29">
        <v>104929.93</v>
      </c>
      <c r="I29">
        <v>0</v>
      </c>
      <c r="J29">
        <v>209859.86</v>
      </c>
      <c r="K29">
        <v>0</v>
      </c>
      <c r="L29">
        <v>7.4999999999999997E-2</v>
      </c>
      <c r="M29">
        <v>15739.49</v>
      </c>
      <c r="N29">
        <v>225599.35</v>
      </c>
      <c r="O29" t="s">
        <v>35</v>
      </c>
    </row>
    <row r="30" spans="1:15" x14ac:dyDescent="0.35">
      <c r="A30" t="s">
        <v>80</v>
      </c>
      <c r="B30" s="2">
        <v>46101</v>
      </c>
      <c r="C30" t="s">
        <v>56</v>
      </c>
      <c r="D30" t="s">
        <v>57</v>
      </c>
      <c r="E30" t="s">
        <v>58</v>
      </c>
      <c r="F30" t="s">
        <v>19</v>
      </c>
      <c r="G30">
        <v>4</v>
      </c>
      <c r="H30">
        <v>23746.28</v>
      </c>
      <c r="I30">
        <v>0.05</v>
      </c>
      <c r="J30">
        <v>94985.12</v>
      </c>
      <c r="K30">
        <v>4749.26</v>
      </c>
      <c r="L30">
        <v>0.1</v>
      </c>
      <c r="M30">
        <v>9023.59</v>
      </c>
      <c r="N30">
        <v>99259.45</v>
      </c>
      <c r="O30" t="s">
        <v>35</v>
      </c>
    </row>
    <row r="31" spans="1:15" x14ac:dyDescent="0.35">
      <c r="A31" t="s">
        <v>81</v>
      </c>
      <c r="B31" s="2">
        <v>46251</v>
      </c>
      <c r="C31" t="s">
        <v>60</v>
      </c>
      <c r="D31" t="s">
        <v>61</v>
      </c>
      <c r="E31" t="s">
        <v>62</v>
      </c>
      <c r="F31" t="s">
        <v>19</v>
      </c>
      <c r="G31">
        <v>7</v>
      </c>
      <c r="H31">
        <v>233942.41</v>
      </c>
      <c r="I31">
        <v>0.1</v>
      </c>
      <c r="J31">
        <v>1637596.87</v>
      </c>
      <c r="K31">
        <v>163759.69</v>
      </c>
      <c r="L31">
        <v>0.1</v>
      </c>
      <c r="M31">
        <v>147383.72</v>
      </c>
      <c r="N31">
        <v>1621220.9</v>
      </c>
      <c r="O31" t="s">
        <v>35</v>
      </c>
    </row>
    <row r="32" spans="1:15" x14ac:dyDescent="0.35">
      <c r="A32" t="s">
        <v>82</v>
      </c>
      <c r="B32" s="2">
        <v>46259</v>
      </c>
      <c r="C32" t="s">
        <v>16</v>
      </c>
      <c r="D32" t="s">
        <v>17</v>
      </c>
      <c r="E32" t="s">
        <v>18</v>
      </c>
      <c r="F32" t="s">
        <v>19</v>
      </c>
      <c r="G32">
        <v>3</v>
      </c>
      <c r="H32">
        <v>642419.21</v>
      </c>
      <c r="I32">
        <v>0.15</v>
      </c>
      <c r="J32">
        <v>1927257.63</v>
      </c>
      <c r="K32">
        <v>289088.64000000001</v>
      </c>
      <c r="L32">
        <v>7.4999999999999997E-2</v>
      </c>
      <c r="M32">
        <v>122862.67</v>
      </c>
      <c r="N32">
        <v>1761031.66</v>
      </c>
      <c r="O32" t="s">
        <v>35</v>
      </c>
    </row>
    <row r="33" spans="1:15" x14ac:dyDescent="0.35">
      <c r="A33" t="s">
        <v>83</v>
      </c>
      <c r="B33" s="2">
        <v>46191</v>
      </c>
      <c r="C33" t="s">
        <v>22</v>
      </c>
      <c r="D33" t="s">
        <v>23</v>
      </c>
      <c r="E33" t="s">
        <v>24</v>
      </c>
      <c r="F33" t="s">
        <v>19</v>
      </c>
      <c r="G33">
        <v>6</v>
      </c>
      <c r="H33">
        <v>18030.95</v>
      </c>
      <c r="I33">
        <v>0</v>
      </c>
      <c r="J33">
        <v>108185.7</v>
      </c>
      <c r="K33">
        <v>0</v>
      </c>
      <c r="L33">
        <v>0.1</v>
      </c>
      <c r="M33">
        <v>10818.57</v>
      </c>
      <c r="N33">
        <v>119004.27</v>
      </c>
      <c r="O33" t="s">
        <v>20</v>
      </c>
    </row>
    <row r="34" spans="1:15" x14ac:dyDescent="0.35">
      <c r="A34" t="s">
        <v>84</v>
      </c>
      <c r="B34" s="2">
        <v>46144</v>
      </c>
      <c r="C34" t="s">
        <v>27</v>
      </c>
      <c r="D34" t="s">
        <v>28</v>
      </c>
      <c r="E34" t="s">
        <v>29</v>
      </c>
      <c r="F34" t="s">
        <v>30</v>
      </c>
      <c r="G34">
        <v>2</v>
      </c>
      <c r="H34">
        <v>92531.75</v>
      </c>
      <c r="I34">
        <v>0.1</v>
      </c>
      <c r="J34">
        <v>185063.5</v>
      </c>
      <c r="K34">
        <v>18506.349999999999</v>
      </c>
      <c r="L34">
        <v>7.4999999999999997E-2</v>
      </c>
      <c r="M34">
        <v>12491.79</v>
      </c>
      <c r="N34">
        <v>179048.94</v>
      </c>
      <c r="O34" t="s">
        <v>35</v>
      </c>
    </row>
    <row r="35" spans="1:15" x14ac:dyDescent="0.35">
      <c r="A35" t="s">
        <v>85</v>
      </c>
      <c r="B35" s="2">
        <v>46212</v>
      </c>
      <c r="C35" t="s">
        <v>32</v>
      </c>
      <c r="D35" t="s">
        <v>33</v>
      </c>
      <c r="E35" t="s">
        <v>34</v>
      </c>
      <c r="F35" t="s">
        <v>30</v>
      </c>
      <c r="G35">
        <v>1</v>
      </c>
      <c r="H35">
        <v>11815.37</v>
      </c>
      <c r="I35">
        <v>0.05</v>
      </c>
      <c r="J35">
        <v>11815.37</v>
      </c>
      <c r="K35">
        <v>590.77</v>
      </c>
      <c r="L35">
        <v>7.4999999999999997E-2</v>
      </c>
      <c r="M35">
        <v>841.84</v>
      </c>
      <c r="N35">
        <v>12066.44</v>
      </c>
      <c r="O35" t="s">
        <v>25</v>
      </c>
    </row>
    <row r="36" spans="1:15" x14ac:dyDescent="0.35">
      <c r="A36" t="s">
        <v>86</v>
      </c>
      <c r="B36" s="2">
        <v>46127</v>
      </c>
      <c r="C36" t="s">
        <v>37</v>
      </c>
      <c r="D36" t="s">
        <v>38</v>
      </c>
      <c r="E36" t="s">
        <v>39</v>
      </c>
      <c r="F36" t="s">
        <v>40</v>
      </c>
      <c r="G36">
        <v>6</v>
      </c>
      <c r="H36">
        <v>154711.29999999999</v>
      </c>
      <c r="I36">
        <v>0.1</v>
      </c>
      <c r="J36">
        <v>928267.8</v>
      </c>
      <c r="K36">
        <v>92826.78</v>
      </c>
      <c r="L36">
        <v>7.4999999999999997E-2</v>
      </c>
      <c r="M36">
        <v>62658.080000000002</v>
      </c>
      <c r="N36">
        <v>898099.1</v>
      </c>
      <c r="O36" t="s">
        <v>35</v>
      </c>
    </row>
    <row r="37" spans="1:15" x14ac:dyDescent="0.35">
      <c r="A37" t="s">
        <v>87</v>
      </c>
      <c r="B37" s="2">
        <v>46246</v>
      </c>
      <c r="C37" t="s">
        <v>42</v>
      </c>
      <c r="D37" t="s">
        <v>43</v>
      </c>
      <c r="E37" t="s">
        <v>44</v>
      </c>
      <c r="F37" t="s">
        <v>45</v>
      </c>
      <c r="G37">
        <v>1</v>
      </c>
      <c r="H37">
        <v>81828.22</v>
      </c>
      <c r="I37">
        <v>0.05</v>
      </c>
      <c r="J37">
        <v>81828.22</v>
      </c>
      <c r="K37">
        <v>4091.41</v>
      </c>
      <c r="L37">
        <v>0.1</v>
      </c>
      <c r="M37">
        <v>7773.68</v>
      </c>
      <c r="N37">
        <v>85510.49</v>
      </c>
      <c r="O37" t="s">
        <v>35</v>
      </c>
    </row>
    <row r="38" spans="1:15" x14ac:dyDescent="0.35">
      <c r="A38" t="s">
        <v>88</v>
      </c>
      <c r="B38" s="2">
        <v>46152</v>
      </c>
      <c r="C38" t="s">
        <v>47</v>
      </c>
      <c r="D38" t="s">
        <v>48</v>
      </c>
      <c r="E38" t="s">
        <v>49</v>
      </c>
      <c r="F38" t="s">
        <v>50</v>
      </c>
      <c r="G38">
        <v>5</v>
      </c>
      <c r="H38">
        <v>117025.37</v>
      </c>
      <c r="I38">
        <v>0</v>
      </c>
      <c r="J38">
        <v>585126.85</v>
      </c>
      <c r="K38">
        <v>0</v>
      </c>
      <c r="L38">
        <v>7.4999999999999997E-2</v>
      </c>
      <c r="M38">
        <v>43884.51</v>
      </c>
      <c r="N38">
        <v>629011.36</v>
      </c>
      <c r="O38" t="s">
        <v>35</v>
      </c>
    </row>
    <row r="39" spans="1:15" x14ac:dyDescent="0.35">
      <c r="A39" t="s">
        <v>89</v>
      </c>
      <c r="B39" s="2">
        <v>46094</v>
      </c>
      <c r="C39" t="s">
        <v>52</v>
      </c>
      <c r="D39" t="s">
        <v>53</v>
      </c>
      <c r="E39" t="s">
        <v>54</v>
      </c>
      <c r="F39" t="s">
        <v>50</v>
      </c>
      <c r="G39">
        <v>4</v>
      </c>
      <c r="H39">
        <v>99164.53</v>
      </c>
      <c r="I39">
        <v>0.05</v>
      </c>
      <c r="J39">
        <v>396658.12</v>
      </c>
      <c r="K39">
        <v>19832.91</v>
      </c>
      <c r="L39">
        <v>0.1</v>
      </c>
      <c r="M39">
        <v>37682.519999999997</v>
      </c>
      <c r="N39">
        <v>414507.73</v>
      </c>
      <c r="O39" t="s">
        <v>35</v>
      </c>
    </row>
    <row r="40" spans="1:15" x14ac:dyDescent="0.35">
      <c r="A40" t="s">
        <v>90</v>
      </c>
      <c r="B40" s="2">
        <v>46095</v>
      </c>
      <c r="C40" t="s">
        <v>56</v>
      </c>
      <c r="D40" t="s">
        <v>57</v>
      </c>
      <c r="E40" t="s">
        <v>58</v>
      </c>
      <c r="F40" t="s">
        <v>19</v>
      </c>
      <c r="G40">
        <v>3</v>
      </c>
      <c r="H40">
        <v>23968.639999999999</v>
      </c>
      <c r="I40">
        <v>0.05</v>
      </c>
      <c r="J40">
        <v>71905.919999999998</v>
      </c>
      <c r="K40">
        <v>3595.3</v>
      </c>
      <c r="L40">
        <v>0.1</v>
      </c>
      <c r="M40">
        <v>6831.06</v>
      </c>
      <c r="N40">
        <v>75141.679999999993</v>
      </c>
      <c r="O40" t="s">
        <v>20</v>
      </c>
    </row>
    <row r="41" spans="1:15" x14ac:dyDescent="0.35">
      <c r="A41" t="s">
        <v>91</v>
      </c>
      <c r="B41" s="2">
        <v>46170</v>
      </c>
      <c r="C41" t="s">
        <v>60</v>
      </c>
      <c r="D41" t="s">
        <v>61</v>
      </c>
      <c r="E41" t="s">
        <v>62</v>
      </c>
      <c r="F41" t="s">
        <v>19</v>
      </c>
      <c r="G41">
        <v>6</v>
      </c>
      <c r="H41">
        <v>216438.62</v>
      </c>
      <c r="I41">
        <v>0.1</v>
      </c>
      <c r="J41">
        <v>1298631.72</v>
      </c>
      <c r="K41">
        <v>129863.17</v>
      </c>
      <c r="L41">
        <v>0.1</v>
      </c>
      <c r="M41">
        <v>116876.86</v>
      </c>
      <c r="N41">
        <v>1285645.4099999999</v>
      </c>
      <c r="O41" t="s">
        <v>20</v>
      </c>
    </row>
    <row r="42" spans="1:15" x14ac:dyDescent="0.35">
      <c r="A42" t="s">
        <v>92</v>
      </c>
      <c r="B42" s="2">
        <v>46029</v>
      </c>
      <c r="C42" t="s">
        <v>16</v>
      </c>
      <c r="D42" t="s">
        <v>17</v>
      </c>
      <c r="E42" t="s">
        <v>18</v>
      </c>
      <c r="F42" t="s">
        <v>19</v>
      </c>
      <c r="G42">
        <v>4</v>
      </c>
      <c r="H42">
        <v>650852.67000000004</v>
      </c>
      <c r="I42">
        <v>0.15</v>
      </c>
      <c r="J42">
        <v>2603410.6800000002</v>
      </c>
      <c r="K42">
        <v>390511.6</v>
      </c>
      <c r="L42">
        <v>7.4999999999999997E-2</v>
      </c>
      <c r="M42">
        <v>165967.43</v>
      </c>
      <c r="N42">
        <v>2378866.5099999998</v>
      </c>
      <c r="O42" t="s">
        <v>20</v>
      </c>
    </row>
    <row r="43" spans="1:15" x14ac:dyDescent="0.35">
      <c r="A43" t="s">
        <v>93</v>
      </c>
      <c r="B43" s="2">
        <v>46173</v>
      </c>
      <c r="C43" t="s">
        <v>22</v>
      </c>
      <c r="D43" t="s">
        <v>23</v>
      </c>
      <c r="E43" t="s">
        <v>24</v>
      </c>
      <c r="F43" t="s">
        <v>19</v>
      </c>
      <c r="G43">
        <v>3</v>
      </c>
      <c r="H43">
        <v>17194.29</v>
      </c>
      <c r="I43">
        <v>0.05</v>
      </c>
      <c r="J43">
        <v>51582.87</v>
      </c>
      <c r="K43">
        <v>2579.14</v>
      </c>
      <c r="L43">
        <v>7.4999999999999997E-2</v>
      </c>
      <c r="M43">
        <v>3675.28</v>
      </c>
      <c r="N43">
        <v>52679.01</v>
      </c>
      <c r="O43" t="s">
        <v>35</v>
      </c>
    </row>
    <row r="44" spans="1:15" x14ac:dyDescent="0.35">
      <c r="A44" t="s">
        <v>94</v>
      </c>
      <c r="B44" s="2">
        <v>46154</v>
      </c>
      <c r="C44" t="s">
        <v>27</v>
      </c>
      <c r="D44" t="s">
        <v>28</v>
      </c>
      <c r="E44" t="s">
        <v>29</v>
      </c>
      <c r="F44" t="s">
        <v>30</v>
      </c>
      <c r="G44">
        <v>7</v>
      </c>
      <c r="H44">
        <v>90050.37</v>
      </c>
      <c r="I44">
        <v>0</v>
      </c>
      <c r="J44">
        <v>630352.59</v>
      </c>
      <c r="K44">
        <v>0</v>
      </c>
      <c r="L44">
        <v>0.1</v>
      </c>
      <c r="M44">
        <v>63035.26</v>
      </c>
      <c r="N44">
        <v>693387.85</v>
      </c>
      <c r="O44" t="s">
        <v>35</v>
      </c>
    </row>
    <row r="45" spans="1:15" x14ac:dyDescent="0.35">
      <c r="A45" t="s">
        <v>95</v>
      </c>
      <c r="B45" s="2">
        <v>46204</v>
      </c>
      <c r="C45" t="s">
        <v>32</v>
      </c>
      <c r="D45" t="s">
        <v>33</v>
      </c>
      <c r="E45" t="s">
        <v>34</v>
      </c>
      <c r="F45" t="s">
        <v>30</v>
      </c>
      <c r="G45">
        <v>1</v>
      </c>
      <c r="H45">
        <v>12337.33</v>
      </c>
      <c r="I45">
        <v>0</v>
      </c>
      <c r="J45">
        <v>12337.33</v>
      </c>
      <c r="K45">
        <v>0</v>
      </c>
      <c r="L45">
        <v>7.4999999999999997E-2</v>
      </c>
      <c r="M45">
        <v>925.3</v>
      </c>
      <c r="N45">
        <v>13262.63</v>
      </c>
      <c r="O45" t="s">
        <v>25</v>
      </c>
    </row>
    <row r="46" spans="1:15" x14ac:dyDescent="0.35">
      <c r="A46" t="s">
        <v>96</v>
      </c>
      <c r="B46" s="2">
        <v>46170</v>
      </c>
      <c r="C46" t="s">
        <v>37</v>
      </c>
      <c r="D46" t="s">
        <v>38</v>
      </c>
      <c r="E46" t="s">
        <v>39</v>
      </c>
      <c r="F46" t="s">
        <v>40</v>
      </c>
      <c r="G46">
        <v>6</v>
      </c>
      <c r="H46">
        <v>154698.82999999999</v>
      </c>
      <c r="I46">
        <v>0.1</v>
      </c>
      <c r="J46">
        <v>928192.98</v>
      </c>
      <c r="K46">
        <v>92819.3</v>
      </c>
      <c r="L46">
        <v>0.1</v>
      </c>
      <c r="M46">
        <v>83537.37</v>
      </c>
      <c r="N46">
        <v>918911.05</v>
      </c>
      <c r="O46" t="s">
        <v>20</v>
      </c>
    </row>
    <row r="47" spans="1:15" x14ac:dyDescent="0.35">
      <c r="A47" t="s">
        <v>97</v>
      </c>
      <c r="B47" s="2">
        <v>46155</v>
      </c>
      <c r="C47" t="s">
        <v>42</v>
      </c>
      <c r="D47" t="s">
        <v>43</v>
      </c>
      <c r="E47" t="s">
        <v>44</v>
      </c>
      <c r="F47" t="s">
        <v>45</v>
      </c>
      <c r="G47">
        <v>1</v>
      </c>
      <c r="H47">
        <v>85226.25</v>
      </c>
      <c r="I47">
        <v>0</v>
      </c>
      <c r="J47">
        <v>85226.25</v>
      </c>
      <c r="K47">
        <v>0</v>
      </c>
      <c r="L47">
        <v>0.1</v>
      </c>
      <c r="M47">
        <v>8522.6200000000008</v>
      </c>
      <c r="N47">
        <v>93748.87</v>
      </c>
      <c r="O47" t="s">
        <v>35</v>
      </c>
    </row>
    <row r="48" spans="1:15" x14ac:dyDescent="0.35">
      <c r="A48" t="s">
        <v>98</v>
      </c>
      <c r="B48" s="2">
        <v>46035</v>
      </c>
      <c r="C48" t="s">
        <v>47</v>
      </c>
      <c r="D48" t="s">
        <v>48</v>
      </c>
      <c r="E48" t="s">
        <v>49</v>
      </c>
      <c r="F48" t="s">
        <v>50</v>
      </c>
      <c r="G48">
        <v>4</v>
      </c>
      <c r="H48">
        <v>121119.23</v>
      </c>
      <c r="I48">
        <v>0.15</v>
      </c>
      <c r="J48">
        <v>484476.92</v>
      </c>
      <c r="K48">
        <v>72671.539999999994</v>
      </c>
      <c r="L48">
        <v>7.4999999999999997E-2</v>
      </c>
      <c r="M48">
        <v>30885.4</v>
      </c>
      <c r="N48">
        <v>442690.78</v>
      </c>
      <c r="O48" t="s">
        <v>35</v>
      </c>
    </row>
    <row r="49" spans="1:15" x14ac:dyDescent="0.35">
      <c r="A49" t="s">
        <v>99</v>
      </c>
      <c r="B49" s="2">
        <v>46178</v>
      </c>
      <c r="C49" t="s">
        <v>52</v>
      </c>
      <c r="D49" t="s">
        <v>53</v>
      </c>
      <c r="E49" t="s">
        <v>54</v>
      </c>
      <c r="F49" t="s">
        <v>50</v>
      </c>
      <c r="G49">
        <v>3</v>
      </c>
      <c r="H49">
        <v>103615.29</v>
      </c>
      <c r="I49">
        <v>0.1</v>
      </c>
      <c r="J49">
        <v>310845.87</v>
      </c>
      <c r="K49">
        <v>31084.59</v>
      </c>
      <c r="L49">
        <v>0.1</v>
      </c>
      <c r="M49">
        <v>27976.13</v>
      </c>
      <c r="N49">
        <v>307737.40999999997</v>
      </c>
      <c r="O49" t="s">
        <v>35</v>
      </c>
    </row>
    <row r="50" spans="1:15" x14ac:dyDescent="0.35">
      <c r="A50" t="s">
        <v>100</v>
      </c>
      <c r="B50" s="2">
        <v>46226</v>
      </c>
      <c r="C50" t="s">
        <v>56</v>
      </c>
      <c r="D50" t="s">
        <v>57</v>
      </c>
      <c r="E50" t="s">
        <v>58</v>
      </c>
      <c r="F50" t="s">
        <v>19</v>
      </c>
      <c r="G50">
        <v>1</v>
      </c>
      <c r="H50">
        <v>25568.13</v>
      </c>
      <c r="I50">
        <v>0.1</v>
      </c>
      <c r="J50">
        <v>25568.13</v>
      </c>
      <c r="K50">
        <v>2556.81</v>
      </c>
      <c r="L50">
        <v>7.4999999999999997E-2</v>
      </c>
      <c r="M50">
        <v>1725.85</v>
      </c>
      <c r="N50">
        <v>24737.17</v>
      </c>
      <c r="O50" t="s">
        <v>20</v>
      </c>
    </row>
    <row r="51" spans="1:15" x14ac:dyDescent="0.35">
      <c r="A51" t="s">
        <v>101</v>
      </c>
      <c r="B51" s="2">
        <v>46243</v>
      </c>
      <c r="C51" t="s">
        <v>60</v>
      </c>
      <c r="D51" t="s">
        <v>61</v>
      </c>
      <c r="E51" t="s">
        <v>62</v>
      </c>
      <c r="F51" t="s">
        <v>19</v>
      </c>
      <c r="G51">
        <v>4</v>
      </c>
      <c r="H51">
        <v>222840.17</v>
      </c>
      <c r="I51">
        <v>0.15</v>
      </c>
      <c r="J51">
        <v>891360.68</v>
      </c>
      <c r="K51">
        <v>133704.1</v>
      </c>
      <c r="L51">
        <v>0.1</v>
      </c>
      <c r="M51">
        <v>75765.66</v>
      </c>
      <c r="N51">
        <v>833422.24</v>
      </c>
      <c r="O51" t="s">
        <v>20</v>
      </c>
    </row>
    <row r="52" spans="1:15" x14ac:dyDescent="0.35">
      <c r="A52" t="s">
        <v>102</v>
      </c>
      <c r="B52" s="2">
        <v>46220</v>
      </c>
      <c r="C52" t="s">
        <v>16</v>
      </c>
      <c r="D52" t="s">
        <v>17</v>
      </c>
      <c r="E52" t="s">
        <v>18</v>
      </c>
      <c r="F52" t="s">
        <v>19</v>
      </c>
      <c r="G52">
        <v>5</v>
      </c>
      <c r="H52">
        <v>627527.78</v>
      </c>
      <c r="I52">
        <v>0.05</v>
      </c>
      <c r="J52">
        <v>3137638.9</v>
      </c>
      <c r="K52">
        <v>156881.94</v>
      </c>
      <c r="L52">
        <v>0.1</v>
      </c>
      <c r="M52">
        <v>298075.7</v>
      </c>
      <c r="N52">
        <v>3278832.66</v>
      </c>
      <c r="O52" t="s">
        <v>20</v>
      </c>
    </row>
    <row r="53" spans="1:15" x14ac:dyDescent="0.35">
      <c r="A53" t="s">
        <v>103</v>
      </c>
      <c r="B53" s="2">
        <v>46059</v>
      </c>
      <c r="C53" t="s">
        <v>22</v>
      </c>
      <c r="D53" t="s">
        <v>23</v>
      </c>
      <c r="E53" t="s">
        <v>24</v>
      </c>
      <c r="F53" t="s">
        <v>19</v>
      </c>
      <c r="G53">
        <v>5</v>
      </c>
      <c r="H53">
        <v>17205.900000000001</v>
      </c>
      <c r="I53">
        <v>0</v>
      </c>
      <c r="J53">
        <v>86029.5</v>
      </c>
      <c r="K53">
        <v>0</v>
      </c>
      <c r="L53">
        <v>0.1</v>
      </c>
      <c r="M53">
        <v>8602.9500000000007</v>
      </c>
      <c r="N53">
        <v>94632.45</v>
      </c>
      <c r="O53" t="s">
        <v>35</v>
      </c>
    </row>
    <row r="54" spans="1:15" x14ac:dyDescent="0.35">
      <c r="A54" t="s">
        <v>104</v>
      </c>
      <c r="B54" s="2">
        <v>46221</v>
      </c>
      <c r="C54" t="s">
        <v>27</v>
      </c>
      <c r="D54" t="s">
        <v>28</v>
      </c>
      <c r="E54" t="s">
        <v>29</v>
      </c>
      <c r="F54" t="s">
        <v>30</v>
      </c>
      <c r="G54">
        <v>4</v>
      </c>
      <c r="H54">
        <v>92970.33</v>
      </c>
      <c r="I54">
        <v>0.15</v>
      </c>
      <c r="J54">
        <v>371881.32</v>
      </c>
      <c r="K54">
        <v>55782.2</v>
      </c>
      <c r="L54">
        <v>7.4999999999999997E-2</v>
      </c>
      <c r="M54">
        <v>23707.43</v>
      </c>
      <c r="N54">
        <v>339806.55</v>
      </c>
      <c r="O54" t="s">
        <v>20</v>
      </c>
    </row>
    <row r="55" spans="1:15" x14ac:dyDescent="0.35">
      <c r="A55" t="s">
        <v>105</v>
      </c>
      <c r="B55" s="2">
        <v>46240</v>
      </c>
      <c r="C55" t="s">
        <v>32</v>
      </c>
      <c r="D55" t="s">
        <v>33</v>
      </c>
      <c r="E55" t="s">
        <v>34</v>
      </c>
      <c r="F55" t="s">
        <v>30</v>
      </c>
      <c r="G55">
        <v>1</v>
      </c>
      <c r="H55">
        <v>12081.68</v>
      </c>
      <c r="I55">
        <v>0.1</v>
      </c>
      <c r="J55">
        <v>12081.68</v>
      </c>
      <c r="K55">
        <v>1208.17</v>
      </c>
      <c r="L55">
        <v>7.4999999999999997E-2</v>
      </c>
      <c r="M55">
        <v>815.51</v>
      </c>
      <c r="N55">
        <v>11689.02</v>
      </c>
      <c r="O55" t="s">
        <v>35</v>
      </c>
    </row>
    <row r="56" spans="1:15" x14ac:dyDescent="0.35">
      <c r="A56" t="s">
        <v>106</v>
      </c>
      <c r="B56" s="2">
        <v>46077</v>
      </c>
      <c r="C56" t="s">
        <v>37</v>
      </c>
      <c r="D56" t="s">
        <v>38</v>
      </c>
      <c r="E56" t="s">
        <v>39</v>
      </c>
      <c r="F56" t="s">
        <v>40</v>
      </c>
      <c r="G56">
        <v>6</v>
      </c>
      <c r="H56">
        <v>152156.9</v>
      </c>
      <c r="I56">
        <v>0.05</v>
      </c>
      <c r="J56">
        <v>912941.4</v>
      </c>
      <c r="K56">
        <v>45647.07</v>
      </c>
      <c r="L56">
        <v>7.4999999999999997E-2</v>
      </c>
      <c r="M56">
        <v>65047.07</v>
      </c>
      <c r="N56">
        <v>932341.4</v>
      </c>
      <c r="O56" t="s">
        <v>25</v>
      </c>
    </row>
    <row r="57" spans="1:15" x14ac:dyDescent="0.35">
      <c r="A57" t="s">
        <v>107</v>
      </c>
      <c r="B57" s="2">
        <v>46123</v>
      </c>
      <c r="C57" t="s">
        <v>42</v>
      </c>
      <c r="D57" t="s">
        <v>43</v>
      </c>
      <c r="E57" t="s">
        <v>44</v>
      </c>
      <c r="F57" t="s">
        <v>45</v>
      </c>
      <c r="G57">
        <v>3</v>
      </c>
      <c r="H57">
        <v>84107.76</v>
      </c>
      <c r="I57">
        <v>0</v>
      </c>
      <c r="J57">
        <v>252323.28</v>
      </c>
      <c r="K57">
        <v>0</v>
      </c>
      <c r="L57">
        <v>0.1</v>
      </c>
      <c r="M57">
        <v>25232.33</v>
      </c>
      <c r="N57">
        <v>277555.61</v>
      </c>
      <c r="O57" t="s">
        <v>20</v>
      </c>
    </row>
    <row r="58" spans="1:15" x14ac:dyDescent="0.35">
      <c r="A58" t="s">
        <v>108</v>
      </c>
      <c r="B58" s="2">
        <v>46173</v>
      </c>
      <c r="C58" t="s">
        <v>47</v>
      </c>
      <c r="D58" t="s">
        <v>48</v>
      </c>
      <c r="E58" t="s">
        <v>49</v>
      </c>
      <c r="F58" t="s">
        <v>50</v>
      </c>
      <c r="G58">
        <v>1</v>
      </c>
      <c r="H58">
        <v>114148.67</v>
      </c>
      <c r="I58">
        <v>0</v>
      </c>
      <c r="J58">
        <v>114148.67</v>
      </c>
      <c r="K58">
        <v>0</v>
      </c>
      <c r="L58">
        <v>0.1</v>
      </c>
      <c r="M58">
        <v>11414.87</v>
      </c>
      <c r="N58">
        <v>125563.54</v>
      </c>
      <c r="O58" t="s">
        <v>20</v>
      </c>
    </row>
    <row r="59" spans="1:15" x14ac:dyDescent="0.35">
      <c r="A59" t="s">
        <v>109</v>
      </c>
      <c r="B59" s="2">
        <v>46184</v>
      </c>
      <c r="C59" t="s">
        <v>52</v>
      </c>
      <c r="D59" t="s">
        <v>53</v>
      </c>
      <c r="E59" t="s">
        <v>54</v>
      </c>
      <c r="F59" t="s">
        <v>50</v>
      </c>
      <c r="G59">
        <v>1</v>
      </c>
      <c r="H59">
        <v>92697.66</v>
      </c>
      <c r="I59">
        <v>0.15</v>
      </c>
      <c r="J59">
        <v>92697.66</v>
      </c>
      <c r="K59">
        <v>13904.65</v>
      </c>
      <c r="L59">
        <v>0.1</v>
      </c>
      <c r="M59">
        <v>7879.3</v>
      </c>
      <c r="N59">
        <v>86672.31</v>
      </c>
      <c r="O59" t="s">
        <v>25</v>
      </c>
    </row>
    <row r="60" spans="1:15" x14ac:dyDescent="0.35">
      <c r="A60" t="s">
        <v>110</v>
      </c>
      <c r="B60" s="2">
        <v>46063</v>
      </c>
      <c r="C60" t="s">
        <v>56</v>
      </c>
      <c r="D60" t="s">
        <v>57</v>
      </c>
      <c r="E60" t="s">
        <v>58</v>
      </c>
      <c r="F60" t="s">
        <v>19</v>
      </c>
      <c r="G60">
        <v>5</v>
      </c>
      <c r="H60">
        <v>26533.98</v>
      </c>
      <c r="I60">
        <v>0.15</v>
      </c>
      <c r="J60">
        <v>132669.9</v>
      </c>
      <c r="K60">
        <v>19900.48</v>
      </c>
      <c r="L60">
        <v>7.4999999999999997E-2</v>
      </c>
      <c r="M60">
        <v>8457.7099999999991</v>
      </c>
      <c r="N60">
        <v>121227.13</v>
      </c>
      <c r="O60" t="s">
        <v>25</v>
      </c>
    </row>
    <row r="61" spans="1:15" x14ac:dyDescent="0.35">
      <c r="A61" t="s">
        <v>111</v>
      </c>
      <c r="B61" s="2">
        <v>46214</v>
      </c>
      <c r="C61" t="s">
        <v>60</v>
      </c>
      <c r="D61" t="s">
        <v>61</v>
      </c>
      <c r="E61" t="s">
        <v>62</v>
      </c>
      <c r="F61" t="s">
        <v>19</v>
      </c>
      <c r="G61">
        <v>1</v>
      </c>
      <c r="H61">
        <v>221857.33</v>
      </c>
      <c r="I61">
        <v>0.1</v>
      </c>
      <c r="J61">
        <v>221857.33</v>
      </c>
      <c r="K61">
        <v>22185.73</v>
      </c>
      <c r="L61">
        <v>7.4999999999999997E-2</v>
      </c>
      <c r="M61">
        <v>14975.37</v>
      </c>
      <c r="N61">
        <v>214646.97</v>
      </c>
      <c r="O61" t="s">
        <v>25</v>
      </c>
    </row>
    <row r="62" spans="1:15" x14ac:dyDescent="0.35">
      <c r="A62" t="s">
        <v>112</v>
      </c>
      <c r="B62" s="2">
        <v>46187</v>
      </c>
      <c r="C62" t="s">
        <v>16</v>
      </c>
      <c r="D62" t="s">
        <v>17</v>
      </c>
      <c r="E62" t="s">
        <v>18</v>
      </c>
      <c r="F62" t="s">
        <v>19</v>
      </c>
      <c r="G62">
        <v>7</v>
      </c>
      <c r="H62">
        <v>629792.49</v>
      </c>
      <c r="I62">
        <v>0.15</v>
      </c>
      <c r="J62">
        <v>4408547.43</v>
      </c>
      <c r="K62">
        <v>661282.11</v>
      </c>
      <c r="L62">
        <v>7.4999999999999997E-2</v>
      </c>
      <c r="M62">
        <v>281044.90000000002</v>
      </c>
      <c r="N62">
        <v>4028310.22</v>
      </c>
      <c r="O62" t="s">
        <v>35</v>
      </c>
    </row>
    <row r="63" spans="1:15" x14ac:dyDescent="0.35">
      <c r="A63" t="s">
        <v>113</v>
      </c>
      <c r="B63" s="2">
        <v>46084</v>
      </c>
      <c r="C63" t="s">
        <v>22</v>
      </c>
      <c r="D63" t="s">
        <v>23</v>
      </c>
      <c r="E63" t="s">
        <v>24</v>
      </c>
      <c r="F63" t="s">
        <v>19</v>
      </c>
      <c r="G63">
        <v>2</v>
      </c>
      <c r="H63">
        <v>18163.59</v>
      </c>
      <c r="I63">
        <v>0.1</v>
      </c>
      <c r="J63">
        <v>36327.18</v>
      </c>
      <c r="K63">
        <v>3632.72</v>
      </c>
      <c r="L63">
        <v>0.1</v>
      </c>
      <c r="M63">
        <v>3269.45</v>
      </c>
      <c r="N63">
        <v>35963.910000000003</v>
      </c>
      <c r="O63" t="s">
        <v>25</v>
      </c>
    </row>
    <row r="64" spans="1:15" x14ac:dyDescent="0.35">
      <c r="A64" t="s">
        <v>114</v>
      </c>
      <c r="B64" s="2">
        <v>46112</v>
      </c>
      <c r="C64" t="s">
        <v>27</v>
      </c>
      <c r="D64" t="s">
        <v>28</v>
      </c>
      <c r="E64" t="s">
        <v>29</v>
      </c>
      <c r="F64" t="s">
        <v>30</v>
      </c>
      <c r="G64">
        <v>6</v>
      </c>
      <c r="H64">
        <v>88877.08</v>
      </c>
      <c r="I64">
        <v>0.15</v>
      </c>
      <c r="J64">
        <v>533262.48</v>
      </c>
      <c r="K64">
        <v>79989.37</v>
      </c>
      <c r="L64">
        <v>7.4999999999999997E-2</v>
      </c>
      <c r="M64">
        <v>33995.480000000003</v>
      </c>
      <c r="N64">
        <v>487268.59</v>
      </c>
      <c r="O64" t="s">
        <v>35</v>
      </c>
    </row>
    <row r="65" spans="1:15" x14ac:dyDescent="0.35">
      <c r="A65" t="s">
        <v>115</v>
      </c>
      <c r="B65" s="2">
        <v>46043</v>
      </c>
      <c r="C65" t="s">
        <v>32</v>
      </c>
      <c r="D65" t="s">
        <v>33</v>
      </c>
      <c r="E65" t="s">
        <v>34</v>
      </c>
      <c r="F65" t="s">
        <v>30</v>
      </c>
      <c r="G65">
        <v>7</v>
      </c>
      <c r="H65">
        <v>12035.19</v>
      </c>
      <c r="I65">
        <v>0.05</v>
      </c>
      <c r="J65">
        <v>84246.33</v>
      </c>
      <c r="K65">
        <v>4212.32</v>
      </c>
      <c r="L65">
        <v>0.1</v>
      </c>
      <c r="M65">
        <v>8003.4</v>
      </c>
      <c r="N65">
        <v>88037.41</v>
      </c>
      <c r="O65" t="s">
        <v>20</v>
      </c>
    </row>
    <row r="66" spans="1:15" x14ac:dyDescent="0.35">
      <c r="A66" t="s">
        <v>116</v>
      </c>
      <c r="B66" s="2">
        <v>46247</v>
      </c>
      <c r="C66" t="s">
        <v>37</v>
      </c>
      <c r="D66" t="s">
        <v>38</v>
      </c>
      <c r="E66" t="s">
        <v>39</v>
      </c>
      <c r="F66" t="s">
        <v>40</v>
      </c>
      <c r="G66">
        <v>1</v>
      </c>
      <c r="H66">
        <v>154859.62</v>
      </c>
      <c r="I66">
        <v>0.15</v>
      </c>
      <c r="J66">
        <v>154859.62</v>
      </c>
      <c r="K66">
        <v>23228.94</v>
      </c>
      <c r="L66">
        <v>7.4999999999999997E-2</v>
      </c>
      <c r="M66">
        <v>9872.2999999999993</v>
      </c>
      <c r="N66">
        <v>141502.98000000001</v>
      </c>
      <c r="O66" t="s">
        <v>35</v>
      </c>
    </row>
    <row r="67" spans="1:15" x14ac:dyDescent="0.35">
      <c r="A67" t="s">
        <v>117</v>
      </c>
      <c r="B67" s="2">
        <v>46039</v>
      </c>
      <c r="C67" t="s">
        <v>42</v>
      </c>
      <c r="D67" t="s">
        <v>43</v>
      </c>
      <c r="E67" t="s">
        <v>44</v>
      </c>
      <c r="F67" t="s">
        <v>45</v>
      </c>
      <c r="G67">
        <v>2</v>
      </c>
      <c r="H67">
        <v>89217.54</v>
      </c>
      <c r="I67">
        <v>0</v>
      </c>
      <c r="J67">
        <v>178435.08</v>
      </c>
      <c r="K67">
        <v>0</v>
      </c>
      <c r="L67">
        <v>0.1</v>
      </c>
      <c r="M67">
        <v>17843.509999999998</v>
      </c>
      <c r="N67">
        <v>196278.59</v>
      </c>
      <c r="O67" t="s">
        <v>35</v>
      </c>
    </row>
    <row r="68" spans="1:15" x14ac:dyDescent="0.35">
      <c r="A68" t="s">
        <v>118</v>
      </c>
      <c r="B68" s="2">
        <v>46091</v>
      </c>
      <c r="C68" t="s">
        <v>47</v>
      </c>
      <c r="D68" t="s">
        <v>48</v>
      </c>
      <c r="E68" t="s">
        <v>49</v>
      </c>
      <c r="F68" t="s">
        <v>50</v>
      </c>
      <c r="G68">
        <v>7</v>
      </c>
      <c r="H68">
        <v>120029.11</v>
      </c>
      <c r="I68">
        <v>0</v>
      </c>
      <c r="J68">
        <v>840203.77</v>
      </c>
      <c r="K68">
        <v>0</v>
      </c>
      <c r="L68">
        <v>0.1</v>
      </c>
      <c r="M68">
        <v>84020.38</v>
      </c>
      <c r="N68">
        <v>924224.15</v>
      </c>
      <c r="O68" t="s">
        <v>35</v>
      </c>
    </row>
    <row r="69" spans="1:15" x14ac:dyDescent="0.35">
      <c r="A69" t="s">
        <v>119</v>
      </c>
      <c r="B69" s="2">
        <v>46241</v>
      </c>
      <c r="C69" t="s">
        <v>52</v>
      </c>
      <c r="D69" t="s">
        <v>53</v>
      </c>
      <c r="E69" t="s">
        <v>54</v>
      </c>
      <c r="F69" t="s">
        <v>50</v>
      </c>
      <c r="G69">
        <v>6</v>
      </c>
      <c r="H69">
        <v>104732.68</v>
      </c>
      <c r="I69">
        <v>0.15</v>
      </c>
      <c r="J69">
        <v>628396.07999999996</v>
      </c>
      <c r="K69">
        <v>94259.41</v>
      </c>
      <c r="L69">
        <v>7.4999999999999997E-2</v>
      </c>
      <c r="M69">
        <v>40060.25</v>
      </c>
      <c r="N69">
        <v>574196.92000000004</v>
      </c>
      <c r="O69" t="s">
        <v>35</v>
      </c>
    </row>
    <row r="70" spans="1:15" x14ac:dyDescent="0.35">
      <c r="A70" t="s">
        <v>120</v>
      </c>
      <c r="B70" s="2">
        <v>46112</v>
      </c>
      <c r="C70" t="s">
        <v>56</v>
      </c>
      <c r="D70" t="s">
        <v>57</v>
      </c>
      <c r="E70" t="s">
        <v>58</v>
      </c>
      <c r="F70" t="s">
        <v>19</v>
      </c>
      <c r="G70">
        <v>2</v>
      </c>
      <c r="H70">
        <v>23375.93</v>
      </c>
      <c r="I70">
        <v>0.1</v>
      </c>
      <c r="J70">
        <v>46751.86</v>
      </c>
      <c r="K70">
        <v>4675.1899999999996</v>
      </c>
      <c r="L70">
        <v>7.4999999999999997E-2</v>
      </c>
      <c r="M70">
        <v>3155.75</v>
      </c>
      <c r="N70">
        <v>45232.42</v>
      </c>
      <c r="O70" t="s">
        <v>35</v>
      </c>
    </row>
    <row r="71" spans="1:15" x14ac:dyDescent="0.35">
      <c r="A71" t="s">
        <v>121</v>
      </c>
      <c r="B71" s="2">
        <v>46084</v>
      </c>
      <c r="C71" t="s">
        <v>60</v>
      </c>
      <c r="D71" t="s">
        <v>61</v>
      </c>
      <c r="E71" t="s">
        <v>62</v>
      </c>
      <c r="F71" t="s">
        <v>19</v>
      </c>
      <c r="G71">
        <v>2</v>
      </c>
      <c r="H71">
        <v>221501.09</v>
      </c>
      <c r="I71">
        <v>0</v>
      </c>
      <c r="J71">
        <v>443002.18</v>
      </c>
      <c r="K71">
        <v>0</v>
      </c>
      <c r="L71">
        <v>0.1</v>
      </c>
      <c r="M71">
        <v>44300.22</v>
      </c>
      <c r="N71">
        <v>487302.40000000002</v>
      </c>
      <c r="O71" t="s">
        <v>25</v>
      </c>
    </row>
    <row r="72" spans="1:15" x14ac:dyDescent="0.35">
      <c r="A72" t="s">
        <v>122</v>
      </c>
      <c r="B72" s="2">
        <v>46080</v>
      </c>
      <c r="C72" t="s">
        <v>16</v>
      </c>
      <c r="D72" t="s">
        <v>17</v>
      </c>
      <c r="E72" t="s">
        <v>18</v>
      </c>
      <c r="F72" t="s">
        <v>19</v>
      </c>
      <c r="G72">
        <v>1</v>
      </c>
      <c r="H72">
        <v>601884.21</v>
      </c>
      <c r="I72">
        <v>0.05</v>
      </c>
      <c r="J72">
        <v>601884.21</v>
      </c>
      <c r="K72">
        <v>30094.21</v>
      </c>
      <c r="L72">
        <v>7.4999999999999997E-2</v>
      </c>
      <c r="M72">
        <v>42884.25</v>
      </c>
      <c r="N72">
        <v>614674.25</v>
      </c>
      <c r="O72" t="s">
        <v>35</v>
      </c>
    </row>
    <row r="73" spans="1:15" x14ac:dyDescent="0.35">
      <c r="A73" t="s">
        <v>123</v>
      </c>
      <c r="B73" s="2">
        <v>46262</v>
      </c>
      <c r="C73" t="s">
        <v>22</v>
      </c>
      <c r="D73" t="s">
        <v>23</v>
      </c>
      <c r="E73" t="s">
        <v>24</v>
      </c>
      <c r="F73" t="s">
        <v>19</v>
      </c>
      <c r="G73">
        <v>5</v>
      </c>
      <c r="H73">
        <v>18064.060000000001</v>
      </c>
      <c r="I73">
        <v>0</v>
      </c>
      <c r="J73">
        <v>90320.3</v>
      </c>
      <c r="K73">
        <v>0</v>
      </c>
      <c r="L73">
        <v>0.1</v>
      </c>
      <c r="M73">
        <v>9032.0300000000007</v>
      </c>
      <c r="N73">
        <v>99352.33</v>
      </c>
      <c r="O73" t="s">
        <v>25</v>
      </c>
    </row>
    <row r="74" spans="1:15" x14ac:dyDescent="0.35">
      <c r="A74" t="s">
        <v>124</v>
      </c>
      <c r="B74" s="2">
        <v>46142</v>
      </c>
      <c r="C74" t="s">
        <v>27</v>
      </c>
      <c r="D74" t="s">
        <v>28</v>
      </c>
      <c r="E74" t="s">
        <v>29</v>
      </c>
      <c r="F74" t="s">
        <v>30</v>
      </c>
      <c r="G74">
        <v>7</v>
      </c>
      <c r="H74">
        <v>88697.279999999999</v>
      </c>
      <c r="I74">
        <v>0</v>
      </c>
      <c r="J74">
        <v>620880.96</v>
      </c>
      <c r="K74">
        <v>0</v>
      </c>
      <c r="L74">
        <v>0.1</v>
      </c>
      <c r="M74">
        <v>62088.1</v>
      </c>
      <c r="N74">
        <v>682969.06</v>
      </c>
      <c r="O74" t="s">
        <v>35</v>
      </c>
    </row>
    <row r="75" spans="1:15" x14ac:dyDescent="0.35">
      <c r="A75" t="s">
        <v>125</v>
      </c>
      <c r="B75" s="2">
        <v>46039</v>
      </c>
      <c r="C75" t="s">
        <v>32</v>
      </c>
      <c r="D75" t="s">
        <v>33</v>
      </c>
      <c r="E75" t="s">
        <v>34</v>
      </c>
      <c r="F75" t="s">
        <v>30</v>
      </c>
      <c r="G75">
        <v>3</v>
      </c>
      <c r="H75">
        <v>12263.87</v>
      </c>
      <c r="I75">
        <v>0.15</v>
      </c>
      <c r="J75">
        <v>36791.61</v>
      </c>
      <c r="K75">
        <v>5518.74</v>
      </c>
      <c r="L75">
        <v>0.1</v>
      </c>
      <c r="M75">
        <v>3127.29</v>
      </c>
      <c r="N75">
        <v>34400.160000000003</v>
      </c>
      <c r="O75" t="s">
        <v>25</v>
      </c>
    </row>
    <row r="76" spans="1:15" x14ac:dyDescent="0.35">
      <c r="A76" t="s">
        <v>126</v>
      </c>
      <c r="B76" s="2">
        <v>46089</v>
      </c>
      <c r="C76" t="s">
        <v>37</v>
      </c>
      <c r="E76" t="s">
        <v>39</v>
      </c>
      <c r="F76" t="s">
        <v>40</v>
      </c>
      <c r="G76">
        <v>2</v>
      </c>
      <c r="H76">
        <v>145750.96</v>
      </c>
      <c r="I76">
        <v>0</v>
      </c>
      <c r="J76">
        <v>291501.92</v>
      </c>
      <c r="K76">
        <v>0</v>
      </c>
      <c r="L76">
        <v>0.1</v>
      </c>
      <c r="M76">
        <v>29150.19</v>
      </c>
      <c r="N76">
        <v>320652.11</v>
      </c>
      <c r="O76" t="s">
        <v>35</v>
      </c>
    </row>
    <row r="77" spans="1:15" x14ac:dyDescent="0.35">
      <c r="A77" t="s">
        <v>127</v>
      </c>
      <c r="B77" s="2">
        <v>46143</v>
      </c>
      <c r="C77" t="s">
        <v>42</v>
      </c>
      <c r="D77" t="s">
        <v>43</v>
      </c>
      <c r="E77" t="s">
        <v>44</v>
      </c>
      <c r="F77" t="s">
        <v>45</v>
      </c>
      <c r="G77">
        <v>2</v>
      </c>
      <c r="H77">
        <v>79267.009999999995</v>
      </c>
      <c r="I77">
        <v>0</v>
      </c>
      <c r="J77">
        <v>158534.01999999999</v>
      </c>
      <c r="K77">
        <v>0</v>
      </c>
      <c r="L77">
        <v>0.1</v>
      </c>
      <c r="M77">
        <v>15853.4</v>
      </c>
      <c r="N77">
        <v>174387.42</v>
      </c>
      <c r="O77" t="s">
        <v>35</v>
      </c>
    </row>
    <row r="78" spans="1:15" x14ac:dyDescent="0.35">
      <c r="A78" t="s">
        <v>128</v>
      </c>
      <c r="B78" s="2">
        <v>46084</v>
      </c>
      <c r="C78" t="s">
        <v>47</v>
      </c>
      <c r="D78" t="s">
        <v>48</v>
      </c>
      <c r="E78" t="s">
        <v>49</v>
      </c>
      <c r="F78" t="s">
        <v>50</v>
      </c>
      <c r="G78">
        <v>7</v>
      </c>
      <c r="H78">
        <v>123762.7</v>
      </c>
      <c r="I78">
        <v>0</v>
      </c>
      <c r="J78">
        <v>866338.9</v>
      </c>
      <c r="K78">
        <v>0</v>
      </c>
      <c r="L78">
        <v>7.4999999999999997E-2</v>
      </c>
      <c r="M78">
        <v>64975.42</v>
      </c>
      <c r="N78">
        <v>931314.32</v>
      </c>
      <c r="O78" t="s">
        <v>25</v>
      </c>
    </row>
    <row r="79" spans="1:15" x14ac:dyDescent="0.35">
      <c r="A79" t="s">
        <v>129</v>
      </c>
      <c r="B79" s="2">
        <v>46074</v>
      </c>
      <c r="C79" t="s">
        <v>52</v>
      </c>
      <c r="D79" t="s">
        <v>53</v>
      </c>
      <c r="E79" t="s">
        <v>54</v>
      </c>
      <c r="F79" t="s">
        <v>50</v>
      </c>
      <c r="G79">
        <v>7</v>
      </c>
      <c r="H79">
        <v>96003.89</v>
      </c>
      <c r="I79">
        <v>0.05</v>
      </c>
      <c r="J79">
        <v>672027.23</v>
      </c>
      <c r="K79">
        <v>33601.360000000001</v>
      </c>
      <c r="L79">
        <v>0.1</v>
      </c>
      <c r="M79">
        <v>63842.59</v>
      </c>
      <c r="N79">
        <v>702268.46</v>
      </c>
      <c r="O79" t="s">
        <v>35</v>
      </c>
    </row>
    <row r="80" spans="1:15" x14ac:dyDescent="0.35">
      <c r="A80" t="s">
        <v>130</v>
      </c>
      <c r="B80" s="2">
        <v>46257</v>
      </c>
      <c r="C80" t="s">
        <v>56</v>
      </c>
      <c r="D80" t="s">
        <v>57</v>
      </c>
      <c r="E80" t="s">
        <v>58</v>
      </c>
      <c r="F80" t="s">
        <v>19</v>
      </c>
      <c r="G80">
        <v>5</v>
      </c>
      <c r="H80">
        <v>24119.74</v>
      </c>
      <c r="I80">
        <v>0.15</v>
      </c>
      <c r="J80">
        <v>120598.7</v>
      </c>
      <c r="K80">
        <v>18089.8</v>
      </c>
      <c r="L80">
        <v>7.4999999999999997E-2</v>
      </c>
      <c r="M80">
        <v>7688.17</v>
      </c>
      <c r="N80">
        <v>110197.07</v>
      </c>
      <c r="O80" t="s">
        <v>20</v>
      </c>
    </row>
    <row r="81" spans="1:15" x14ac:dyDescent="0.35">
      <c r="A81" t="s">
        <v>131</v>
      </c>
      <c r="B81" s="2">
        <v>46102</v>
      </c>
      <c r="C81" t="s">
        <v>60</v>
      </c>
      <c r="D81" t="s">
        <v>61</v>
      </c>
      <c r="E81" t="s">
        <v>62</v>
      </c>
      <c r="F81" t="s">
        <v>19</v>
      </c>
      <c r="G81">
        <v>5</v>
      </c>
      <c r="H81">
        <v>223932.57</v>
      </c>
      <c r="I81">
        <v>0.1</v>
      </c>
      <c r="J81">
        <v>1119662.8500000001</v>
      </c>
      <c r="K81">
        <v>111966.29</v>
      </c>
      <c r="L81">
        <v>7.4999999999999997E-2</v>
      </c>
      <c r="M81">
        <v>75577.240000000005</v>
      </c>
      <c r="N81">
        <v>1083273.8</v>
      </c>
      <c r="O81" t="s">
        <v>20</v>
      </c>
    </row>
    <row r="82" spans="1:15" x14ac:dyDescent="0.35">
      <c r="A82" t="s">
        <v>132</v>
      </c>
      <c r="B82" s="2">
        <v>46232</v>
      </c>
      <c r="C82" t="s">
        <v>16</v>
      </c>
      <c r="D82" t="s">
        <v>17</v>
      </c>
      <c r="E82" t="s">
        <v>18</v>
      </c>
      <c r="F82" t="s">
        <v>19</v>
      </c>
      <c r="G82">
        <v>3</v>
      </c>
      <c r="H82">
        <v>676816</v>
      </c>
      <c r="I82">
        <v>0</v>
      </c>
      <c r="J82">
        <v>2030448</v>
      </c>
      <c r="K82">
        <v>0</v>
      </c>
      <c r="L82">
        <v>7.4999999999999997E-2</v>
      </c>
      <c r="M82">
        <v>152283.6</v>
      </c>
      <c r="N82">
        <v>2182731.6</v>
      </c>
      <c r="O82" t="s">
        <v>35</v>
      </c>
    </row>
    <row r="83" spans="1:15" x14ac:dyDescent="0.35">
      <c r="A83" t="s">
        <v>133</v>
      </c>
      <c r="B83" s="2">
        <v>46223</v>
      </c>
      <c r="C83" t="s">
        <v>22</v>
      </c>
      <c r="D83" t="s">
        <v>23</v>
      </c>
      <c r="E83" t="s">
        <v>24</v>
      </c>
      <c r="F83" t="s">
        <v>19</v>
      </c>
      <c r="G83">
        <v>7</v>
      </c>
      <c r="H83">
        <v>16677.3</v>
      </c>
      <c r="I83">
        <v>0.05</v>
      </c>
      <c r="J83">
        <v>116741.1</v>
      </c>
      <c r="K83">
        <v>5837.06</v>
      </c>
      <c r="L83">
        <v>0.1</v>
      </c>
      <c r="M83">
        <v>11090.4</v>
      </c>
      <c r="N83">
        <v>121994.44</v>
      </c>
      <c r="O83" t="s">
        <v>35</v>
      </c>
    </row>
    <row r="84" spans="1:15" x14ac:dyDescent="0.35">
      <c r="A84" t="s">
        <v>134</v>
      </c>
      <c r="B84" s="2">
        <v>46126</v>
      </c>
      <c r="C84" t="s">
        <v>27</v>
      </c>
      <c r="D84" t="s">
        <v>28</v>
      </c>
      <c r="E84" t="s">
        <v>29</v>
      </c>
      <c r="F84" t="s">
        <v>30</v>
      </c>
      <c r="G84">
        <v>2</v>
      </c>
      <c r="H84">
        <v>99003.14</v>
      </c>
      <c r="I84">
        <v>0</v>
      </c>
      <c r="J84">
        <v>198006.28</v>
      </c>
      <c r="K84">
        <v>0</v>
      </c>
      <c r="L84">
        <v>7.4999999999999997E-2</v>
      </c>
      <c r="M84">
        <v>14850.47</v>
      </c>
      <c r="N84">
        <v>212856.75</v>
      </c>
      <c r="O84" t="s">
        <v>35</v>
      </c>
    </row>
    <row r="85" spans="1:15" x14ac:dyDescent="0.35">
      <c r="A85" t="s">
        <v>135</v>
      </c>
      <c r="B85" s="2">
        <v>46095</v>
      </c>
      <c r="C85" t="s">
        <v>32</v>
      </c>
      <c r="D85" t="s">
        <v>33</v>
      </c>
      <c r="E85" t="s">
        <v>34</v>
      </c>
      <c r="F85" t="s">
        <v>30</v>
      </c>
      <c r="G85">
        <v>6</v>
      </c>
      <c r="H85">
        <v>12287.57</v>
      </c>
      <c r="I85">
        <v>0.05</v>
      </c>
      <c r="J85">
        <v>73725.42</v>
      </c>
      <c r="K85">
        <v>3686.27</v>
      </c>
      <c r="L85">
        <v>0.1</v>
      </c>
      <c r="M85">
        <v>7003.92</v>
      </c>
      <c r="N85">
        <v>77043.070000000007</v>
      </c>
      <c r="O85" t="s">
        <v>25</v>
      </c>
    </row>
    <row r="86" spans="1:15" x14ac:dyDescent="0.35">
      <c r="A86" t="s">
        <v>136</v>
      </c>
      <c r="B86" s="2">
        <v>46212</v>
      </c>
      <c r="C86" t="s">
        <v>37</v>
      </c>
      <c r="D86" t="s">
        <v>38</v>
      </c>
      <c r="E86" t="s">
        <v>39</v>
      </c>
      <c r="F86" t="s">
        <v>40</v>
      </c>
      <c r="G86">
        <v>4</v>
      </c>
      <c r="H86">
        <v>146990.70000000001</v>
      </c>
      <c r="I86">
        <v>0.05</v>
      </c>
      <c r="J86">
        <v>587962.80000000005</v>
      </c>
      <c r="K86">
        <v>29398.14</v>
      </c>
      <c r="L86">
        <v>7.4999999999999997E-2</v>
      </c>
      <c r="M86">
        <v>41892.35</v>
      </c>
      <c r="N86">
        <v>600457.01</v>
      </c>
      <c r="O86" t="s">
        <v>35</v>
      </c>
    </row>
    <row r="87" spans="1:15" x14ac:dyDescent="0.35">
      <c r="A87" t="s">
        <v>137</v>
      </c>
      <c r="B87" s="2">
        <v>46106</v>
      </c>
      <c r="C87" t="s">
        <v>42</v>
      </c>
      <c r="D87" t="s">
        <v>43</v>
      </c>
      <c r="E87" t="s">
        <v>44</v>
      </c>
      <c r="F87" t="s">
        <v>45</v>
      </c>
      <c r="G87">
        <v>5</v>
      </c>
      <c r="H87">
        <v>87501.91</v>
      </c>
      <c r="I87">
        <v>0.15</v>
      </c>
      <c r="J87">
        <v>437509.55</v>
      </c>
      <c r="K87">
        <v>65626.429999999993</v>
      </c>
      <c r="L87">
        <v>0.1</v>
      </c>
      <c r="M87">
        <v>37188.31</v>
      </c>
      <c r="N87">
        <v>409071.43</v>
      </c>
      <c r="O87" t="s">
        <v>20</v>
      </c>
    </row>
    <row r="88" spans="1:15" x14ac:dyDescent="0.35">
      <c r="A88" t="s">
        <v>138</v>
      </c>
      <c r="B88" s="2">
        <v>46110</v>
      </c>
      <c r="C88" t="s">
        <v>47</v>
      </c>
      <c r="D88" t="s">
        <v>48</v>
      </c>
      <c r="E88" t="s">
        <v>49</v>
      </c>
      <c r="F88" t="s">
        <v>50</v>
      </c>
      <c r="G88">
        <v>1</v>
      </c>
      <c r="H88">
        <v>127050.22</v>
      </c>
      <c r="I88">
        <v>0.15</v>
      </c>
      <c r="J88">
        <v>127050.22</v>
      </c>
      <c r="K88">
        <v>19057.53</v>
      </c>
      <c r="L88">
        <v>7.4999999999999997E-2</v>
      </c>
      <c r="M88">
        <v>8099.45</v>
      </c>
      <c r="N88">
        <v>116092.14</v>
      </c>
      <c r="O88" t="s">
        <v>20</v>
      </c>
    </row>
    <row r="89" spans="1:15" x14ac:dyDescent="0.35">
      <c r="A89" t="s">
        <v>139</v>
      </c>
      <c r="B89" s="2">
        <v>46215</v>
      </c>
      <c r="C89" t="s">
        <v>52</v>
      </c>
      <c r="D89" t="s">
        <v>53</v>
      </c>
      <c r="E89" t="s">
        <v>54</v>
      </c>
      <c r="F89" t="s">
        <v>50</v>
      </c>
      <c r="G89">
        <v>2</v>
      </c>
      <c r="H89">
        <v>101173.87</v>
      </c>
      <c r="I89">
        <v>0</v>
      </c>
      <c r="J89">
        <v>202347.74</v>
      </c>
      <c r="K89">
        <v>0</v>
      </c>
      <c r="L89">
        <v>7.4999999999999997E-2</v>
      </c>
      <c r="M89">
        <v>15176.08</v>
      </c>
      <c r="N89">
        <v>217523.82</v>
      </c>
      <c r="O89" t="s">
        <v>35</v>
      </c>
    </row>
    <row r="90" spans="1:15" x14ac:dyDescent="0.35">
      <c r="A90" t="s">
        <v>140</v>
      </c>
      <c r="B90" s="2">
        <v>46194</v>
      </c>
      <c r="C90" t="s">
        <v>56</v>
      </c>
      <c r="D90" t="s">
        <v>57</v>
      </c>
      <c r="E90" t="s">
        <v>58</v>
      </c>
      <c r="F90" t="s">
        <v>19</v>
      </c>
      <c r="G90">
        <v>5</v>
      </c>
      <c r="H90">
        <v>25503.759999999998</v>
      </c>
      <c r="I90">
        <v>0</v>
      </c>
      <c r="J90">
        <v>127518.8</v>
      </c>
      <c r="K90">
        <v>0</v>
      </c>
      <c r="L90">
        <v>7.4999999999999997E-2</v>
      </c>
      <c r="M90">
        <v>9563.91</v>
      </c>
      <c r="N90">
        <v>137082.71</v>
      </c>
      <c r="O90" t="s">
        <v>25</v>
      </c>
    </row>
    <row r="91" spans="1:15" x14ac:dyDescent="0.35">
      <c r="A91" t="s">
        <v>141</v>
      </c>
      <c r="B91" s="2">
        <v>46072</v>
      </c>
      <c r="C91" t="s">
        <v>60</v>
      </c>
      <c r="D91" t="s">
        <v>61</v>
      </c>
      <c r="E91" t="s">
        <v>62</v>
      </c>
      <c r="F91" t="s">
        <v>19</v>
      </c>
      <c r="G91">
        <v>4</v>
      </c>
      <c r="H91">
        <v>212043.43</v>
      </c>
      <c r="I91">
        <v>0.15</v>
      </c>
      <c r="J91">
        <v>848173.72</v>
      </c>
      <c r="K91">
        <v>127226.06</v>
      </c>
      <c r="L91">
        <v>7.4999999999999997E-2</v>
      </c>
      <c r="M91">
        <v>54071.07</v>
      </c>
      <c r="N91">
        <v>775018.73</v>
      </c>
      <c r="O91" t="s">
        <v>35</v>
      </c>
    </row>
    <row r="92" spans="1:15" x14ac:dyDescent="0.35">
      <c r="A92" t="s">
        <v>142</v>
      </c>
      <c r="B92" s="2">
        <v>46116</v>
      </c>
      <c r="C92" t="s">
        <v>16</v>
      </c>
      <c r="D92" t="s">
        <v>17</v>
      </c>
      <c r="E92" t="s">
        <v>18</v>
      </c>
      <c r="F92" t="s">
        <v>19</v>
      </c>
      <c r="G92">
        <v>3</v>
      </c>
      <c r="H92">
        <v>662298.4</v>
      </c>
      <c r="I92">
        <v>0.1</v>
      </c>
      <c r="J92">
        <v>1986895.2</v>
      </c>
      <c r="K92">
        <v>198689.52</v>
      </c>
      <c r="L92">
        <v>7.4999999999999997E-2</v>
      </c>
      <c r="M92">
        <v>134115.43</v>
      </c>
      <c r="N92">
        <v>1922321.11</v>
      </c>
      <c r="O92" t="s">
        <v>35</v>
      </c>
    </row>
    <row r="93" spans="1:15" x14ac:dyDescent="0.35">
      <c r="A93" t="s">
        <v>143</v>
      </c>
      <c r="B93" s="2">
        <v>46141</v>
      </c>
      <c r="C93" t="s">
        <v>22</v>
      </c>
      <c r="D93" t="s">
        <v>23</v>
      </c>
      <c r="E93" t="s">
        <v>24</v>
      </c>
      <c r="F93" t="s">
        <v>19</v>
      </c>
      <c r="G93">
        <v>2</v>
      </c>
      <c r="H93">
        <v>18523.05</v>
      </c>
      <c r="I93">
        <v>0.05</v>
      </c>
      <c r="J93">
        <v>37046.1</v>
      </c>
      <c r="K93">
        <v>1852.3</v>
      </c>
      <c r="L93">
        <v>0.1</v>
      </c>
      <c r="M93">
        <v>3519.38</v>
      </c>
      <c r="N93">
        <v>38713.18</v>
      </c>
      <c r="O93" t="s">
        <v>35</v>
      </c>
    </row>
    <row r="94" spans="1:15" x14ac:dyDescent="0.35">
      <c r="A94" t="s">
        <v>144</v>
      </c>
      <c r="B94" s="2">
        <v>46101</v>
      </c>
      <c r="C94" t="s">
        <v>27</v>
      </c>
      <c r="D94" t="s">
        <v>28</v>
      </c>
      <c r="E94" t="s">
        <v>29</v>
      </c>
      <c r="F94" t="s">
        <v>30</v>
      </c>
      <c r="G94">
        <v>4</v>
      </c>
      <c r="H94">
        <v>97931.93</v>
      </c>
      <c r="I94">
        <v>0.05</v>
      </c>
      <c r="J94">
        <v>391727.72</v>
      </c>
      <c r="K94">
        <v>19586.39</v>
      </c>
      <c r="L94">
        <v>7.4999999999999997E-2</v>
      </c>
      <c r="M94">
        <v>27910.6</v>
      </c>
      <c r="N94">
        <v>400051.93</v>
      </c>
      <c r="O94" t="s">
        <v>25</v>
      </c>
    </row>
    <row r="95" spans="1:15" x14ac:dyDescent="0.35">
      <c r="A95" t="s">
        <v>145</v>
      </c>
      <c r="B95" s="2">
        <v>46190</v>
      </c>
      <c r="C95" t="s">
        <v>32</v>
      </c>
      <c r="D95" t="s">
        <v>33</v>
      </c>
      <c r="E95" t="s">
        <v>34</v>
      </c>
      <c r="F95" t="s">
        <v>30</v>
      </c>
      <c r="G95">
        <v>4</v>
      </c>
      <c r="H95">
        <v>11842.46</v>
      </c>
      <c r="I95">
        <v>0</v>
      </c>
      <c r="J95">
        <v>47369.84</v>
      </c>
      <c r="K95">
        <v>0</v>
      </c>
      <c r="L95">
        <v>7.4999999999999997E-2</v>
      </c>
      <c r="M95">
        <v>3552.74</v>
      </c>
      <c r="N95">
        <v>50922.58</v>
      </c>
      <c r="O95" t="s">
        <v>35</v>
      </c>
    </row>
    <row r="96" spans="1:15" x14ac:dyDescent="0.35">
      <c r="A96" t="s">
        <v>146</v>
      </c>
      <c r="B96" s="2">
        <v>46125</v>
      </c>
      <c r="C96" t="s">
        <v>37</v>
      </c>
      <c r="D96" t="s">
        <v>38</v>
      </c>
      <c r="E96" t="s">
        <v>39</v>
      </c>
      <c r="F96" t="s">
        <v>40</v>
      </c>
      <c r="G96">
        <v>1</v>
      </c>
      <c r="H96">
        <v>151644.49</v>
      </c>
      <c r="I96">
        <v>0.1</v>
      </c>
      <c r="J96">
        <v>151644.49</v>
      </c>
      <c r="K96">
        <v>15164.45</v>
      </c>
      <c r="L96">
        <v>7.4999999999999997E-2</v>
      </c>
      <c r="M96">
        <v>10236</v>
      </c>
      <c r="N96">
        <v>146716.04</v>
      </c>
      <c r="O96" t="s">
        <v>35</v>
      </c>
    </row>
    <row r="97" spans="1:15" x14ac:dyDescent="0.35">
      <c r="A97" t="s">
        <v>147</v>
      </c>
      <c r="B97" s="2">
        <v>46177</v>
      </c>
      <c r="C97" t="s">
        <v>42</v>
      </c>
      <c r="D97" t="s">
        <v>43</v>
      </c>
      <c r="E97" t="s">
        <v>44</v>
      </c>
      <c r="F97" t="s">
        <v>45</v>
      </c>
      <c r="G97">
        <v>2</v>
      </c>
      <c r="H97">
        <v>81600.22</v>
      </c>
      <c r="I97">
        <v>0.15</v>
      </c>
      <c r="J97">
        <v>163200.44</v>
      </c>
      <c r="K97">
        <v>24480.07</v>
      </c>
      <c r="L97">
        <v>0.1</v>
      </c>
      <c r="M97">
        <v>13872.04</v>
      </c>
      <c r="N97">
        <v>152592.41</v>
      </c>
      <c r="O97" t="s">
        <v>25</v>
      </c>
    </row>
    <row r="98" spans="1:15" x14ac:dyDescent="0.35">
      <c r="A98" t="s">
        <v>148</v>
      </c>
      <c r="B98" s="2">
        <v>46049</v>
      </c>
      <c r="C98" t="s">
        <v>47</v>
      </c>
      <c r="D98" t="s">
        <v>48</v>
      </c>
      <c r="E98" t="s">
        <v>49</v>
      </c>
      <c r="F98" t="s">
        <v>50</v>
      </c>
      <c r="G98">
        <v>5</v>
      </c>
      <c r="H98">
        <v>114981.06</v>
      </c>
      <c r="I98">
        <v>0.1</v>
      </c>
      <c r="J98">
        <v>574905.30000000005</v>
      </c>
      <c r="K98">
        <v>57490.53</v>
      </c>
      <c r="L98">
        <v>7.4999999999999997E-2</v>
      </c>
      <c r="M98">
        <v>38806.11</v>
      </c>
      <c r="N98">
        <v>556220.88</v>
      </c>
      <c r="O98" t="s">
        <v>20</v>
      </c>
    </row>
    <row r="99" spans="1:15" x14ac:dyDescent="0.35">
      <c r="A99" t="s">
        <v>149</v>
      </c>
      <c r="B99" s="2">
        <v>46110</v>
      </c>
      <c r="C99" t="s">
        <v>52</v>
      </c>
      <c r="D99" t="s">
        <v>53</v>
      </c>
      <c r="E99" t="s">
        <v>54</v>
      </c>
      <c r="F99" t="s">
        <v>50</v>
      </c>
      <c r="G99">
        <v>1</v>
      </c>
      <c r="H99">
        <v>98043.66</v>
      </c>
      <c r="I99">
        <v>0</v>
      </c>
      <c r="J99">
        <v>98043.66</v>
      </c>
      <c r="K99">
        <v>0</v>
      </c>
      <c r="L99">
        <v>0.1</v>
      </c>
      <c r="M99">
        <v>9804.3700000000008</v>
      </c>
      <c r="N99">
        <v>107848.03</v>
      </c>
      <c r="O99" t="s">
        <v>20</v>
      </c>
    </row>
    <row r="100" spans="1:15" x14ac:dyDescent="0.35">
      <c r="A100" t="s">
        <v>150</v>
      </c>
      <c r="B100" s="2">
        <v>46126</v>
      </c>
      <c r="C100" t="s">
        <v>56</v>
      </c>
      <c r="D100" t="s">
        <v>57</v>
      </c>
      <c r="E100" t="s">
        <v>58</v>
      </c>
      <c r="F100" t="s">
        <v>19</v>
      </c>
      <c r="G100">
        <v>6</v>
      </c>
      <c r="H100">
        <v>24190.54</v>
      </c>
      <c r="I100">
        <v>0.1</v>
      </c>
      <c r="J100">
        <v>145143.24</v>
      </c>
      <c r="K100">
        <v>14514.32</v>
      </c>
      <c r="L100">
        <v>7.4999999999999997E-2</v>
      </c>
      <c r="M100">
        <v>9797.17</v>
      </c>
      <c r="N100">
        <v>140426.09</v>
      </c>
      <c r="O100" t="s">
        <v>35</v>
      </c>
    </row>
    <row r="101" spans="1:15" x14ac:dyDescent="0.35">
      <c r="A101" t="s">
        <v>151</v>
      </c>
      <c r="B101" s="2">
        <v>46054</v>
      </c>
      <c r="C101" t="s">
        <v>60</v>
      </c>
      <c r="D101" t="s">
        <v>61</v>
      </c>
      <c r="E101" t="s">
        <v>62</v>
      </c>
      <c r="F101" t="s">
        <v>19</v>
      </c>
      <c r="G101">
        <v>1</v>
      </c>
      <c r="H101">
        <v>232219.44</v>
      </c>
      <c r="I101">
        <v>0</v>
      </c>
      <c r="J101">
        <v>232219.44</v>
      </c>
      <c r="K101">
        <v>0</v>
      </c>
      <c r="L101">
        <v>7.4999999999999997E-2</v>
      </c>
      <c r="M101">
        <v>17416.46</v>
      </c>
      <c r="N101">
        <v>249635.9</v>
      </c>
      <c r="O101" t="s">
        <v>25</v>
      </c>
    </row>
    <row r="102" spans="1:15" x14ac:dyDescent="0.35">
      <c r="A102" t="s">
        <v>152</v>
      </c>
      <c r="B102" s="2">
        <v>46143</v>
      </c>
      <c r="C102" t="s">
        <v>16</v>
      </c>
      <c r="D102" t="s">
        <v>17</v>
      </c>
      <c r="E102" t="s">
        <v>18</v>
      </c>
      <c r="F102" t="s">
        <v>19</v>
      </c>
      <c r="G102">
        <v>4</v>
      </c>
      <c r="H102">
        <v>657637.54</v>
      </c>
      <c r="I102">
        <v>0.1</v>
      </c>
      <c r="J102">
        <v>2630550.16</v>
      </c>
      <c r="K102">
        <v>263055.02</v>
      </c>
      <c r="L102">
        <v>0.1</v>
      </c>
      <c r="M102">
        <v>236749.51</v>
      </c>
      <c r="N102">
        <v>2604244.65</v>
      </c>
      <c r="O102" t="s">
        <v>35</v>
      </c>
    </row>
    <row r="103" spans="1:15" x14ac:dyDescent="0.35">
      <c r="A103" t="s">
        <v>153</v>
      </c>
      <c r="B103" s="2">
        <v>46254</v>
      </c>
      <c r="C103" t="s">
        <v>22</v>
      </c>
      <c r="D103" t="s">
        <v>23</v>
      </c>
      <c r="E103" t="s">
        <v>24</v>
      </c>
      <c r="F103" t="s">
        <v>19</v>
      </c>
      <c r="G103">
        <v>4</v>
      </c>
      <c r="H103">
        <v>17506.55</v>
      </c>
      <c r="I103">
        <v>0.1</v>
      </c>
      <c r="J103">
        <v>70026.2</v>
      </c>
      <c r="K103">
        <v>7002.62</v>
      </c>
      <c r="L103">
        <v>7.4999999999999997E-2</v>
      </c>
      <c r="M103">
        <v>4726.7700000000004</v>
      </c>
      <c r="N103">
        <v>67750.350000000006</v>
      </c>
      <c r="O103" t="s">
        <v>25</v>
      </c>
    </row>
    <row r="104" spans="1:15" x14ac:dyDescent="0.35">
      <c r="A104" t="s">
        <v>154</v>
      </c>
      <c r="B104" s="2">
        <v>46212</v>
      </c>
      <c r="C104" t="s">
        <v>27</v>
      </c>
      <c r="D104" t="s">
        <v>28</v>
      </c>
      <c r="E104" t="s">
        <v>29</v>
      </c>
      <c r="F104" t="s">
        <v>30</v>
      </c>
      <c r="G104">
        <v>1</v>
      </c>
      <c r="H104">
        <v>89124.66</v>
      </c>
      <c r="I104">
        <v>0</v>
      </c>
      <c r="J104">
        <v>89124.66</v>
      </c>
      <c r="K104">
        <v>0</v>
      </c>
      <c r="L104">
        <v>0.1</v>
      </c>
      <c r="M104">
        <v>8912.4699999999993</v>
      </c>
      <c r="N104">
        <v>98037.13</v>
      </c>
      <c r="O104" t="s">
        <v>35</v>
      </c>
    </row>
    <row r="105" spans="1:15" x14ac:dyDescent="0.35">
      <c r="A105" t="s">
        <v>155</v>
      </c>
      <c r="B105" s="2">
        <v>46247</v>
      </c>
      <c r="C105" t="s">
        <v>32</v>
      </c>
      <c r="D105" t="s">
        <v>33</v>
      </c>
      <c r="E105" t="s">
        <v>34</v>
      </c>
      <c r="F105" t="s">
        <v>30</v>
      </c>
      <c r="G105">
        <v>7</v>
      </c>
      <c r="H105">
        <v>11147.27</v>
      </c>
      <c r="I105">
        <v>0.1</v>
      </c>
      <c r="J105">
        <v>78030.89</v>
      </c>
      <c r="K105">
        <v>7803.09</v>
      </c>
      <c r="L105">
        <v>7.4999999999999997E-2</v>
      </c>
      <c r="M105">
        <v>5267.08</v>
      </c>
      <c r="N105">
        <v>75494.880000000005</v>
      </c>
      <c r="O105" t="s">
        <v>35</v>
      </c>
    </row>
    <row r="106" spans="1:15" x14ac:dyDescent="0.35">
      <c r="A106" t="s">
        <v>156</v>
      </c>
      <c r="B106" s="2">
        <v>46212</v>
      </c>
      <c r="C106" t="s">
        <v>37</v>
      </c>
      <c r="D106" t="s">
        <v>38</v>
      </c>
      <c r="E106" t="s">
        <v>39</v>
      </c>
      <c r="F106" t="s">
        <v>40</v>
      </c>
      <c r="G106">
        <v>2</v>
      </c>
      <c r="H106">
        <v>161247.65</v>
      </c>
      <c r="I106">
        <v>0</v>
      </c>
      <c r="J106">
        <v>322495.3</v>
      </c>
      <c r="K106">
        <v>0</v>
      </c>
      <c r="L106">
        <v>0.1</v>
      </c>
      <c r="M106">
        <v>32249.53</v>
      </c>
      <c r="N106">
        <v>354744.83</v>
      </c>
      <c r="O106" t="s">
        <v>20</v>
      </c>
    </row>
    <row r="107" spans="1:15" x14ac:dyDescent="0.35">
      <c r="A107" t="s">
        <v>157</v>
      </c>
      <c r="B107" s="2">
        <v>46194</v>
      </c>
      <c r="C107" t="s">
        <v>42</v>
      </c>
      <c r="D107" t="s">
        <v>43</v>
      </c>
      <c r="E107" t="s">
        <v>44</v>
      </c>
      <c r="F107" t="s">
        <v>45</v>
      </c>
      <c r="G107">
        <v>5</v>
      </c>
      <c r="H107">
        <v>89603.34</v>
      </c>
      <c r="I107">
        <v>0.05</v>
      </c>
      <c r="J107">
        <v>448016.7</v>
      </c>
      <c r="K107">
        <v>22400.84</v>
      </c>
      <c r="L107">
        <v>7.4999999999999997E-2</v>
      </c>
      <c r="M107">
        <v>31921.19</v>
      </c>
      <c r="N107">
        <v>457537.05</v>
      </c>
      <c r="O107" t="s">
        <v>35</v>
      </c>
    </row>
    <row r="108" spans="1:15" x14ac:dyDescent="0.35">
      <c r="A108" t="s">
        <v>158</v>
      </c>
      <c r="B108" s="2">
        <v>46055</v>
      </c>
      <c r="C108" t="s">
        <v>47</v>
      </c>
      <c r="D108" t="s">
        <v>48</v>
      </c>
      <c r="E108" t="s">
        <v>49</v>
      </c>
      <c r="F108" t="s">
        <v>50</v>
      </c>
      <c r="G108">
        <v>2</v>
      </c>
      <c r="H108">
        <v>127524.42</v>
      </c>
      <c r="I108">
        <v>0.05</v>
      </c>
      <c r="J108">
        <v>255048.84</v>
      </c>
      <c r="K108">
        <v>12752.44</v>
      </c>
      <c r="L108">
        <v>7.4999999999999997E-2</v>
      </c>
      <c r="M108">
        <v>18172.23</v>
      </c>
      <c r="N108">
        <v>260468.63</v>
      </c>
      <c r="O108" t="s">
        <v>35</v>
      </c>
    </row>
    <row r="109" spans="1:15" x14ac:dyDescent="0.35">
      <c r="A109" t="s">
        <v>159</v>
      </c>
      <c r="B109" s="2">
        <v>46112</v>
      </c>
      <c r="C109" t="s">
        <v>52</v>
      </c>
      <c r="D109" t="s">
        <v>53</v>
      </c>
      <c r="E109" t="s">
        <v>54</v>
      </c>
      <c r="F109" t="s">
        <v>50</v>
      </c>
      <c r="G109">
        <v>3</v>
      </c>
      <c r="H109">
        <v>101300.89</v>
      </c>
      <c r="I109">
        <v>0</v>
      </c>
      <c r="J109">
        <v>303902.67</v>
      </c>
      <c r="K109">
        <v>0</v>
      </c>
      <c r="L109">
        <v>7.4999999999999997E-2</v>
      </c>
      <c r="M109">
        <v>22792.7</v>
      </c>
      <c r="N109">
        <v>326695.37</v>
      </c>
      <c r="O109" t="s">
        <v>20</v>
      </c>
    </row>
    <row r="110" spans="1:15" x14ac:dyDescent="0.35">
      <c r="A110" t="s">
        <v>160</v>
      </c>
      <c r="B110" s="2">
        <v>46062</v>
      </c>
      <c r="C110" t="s">
        <v>56</v>
      </c>
      <c r="D110" t="s">
        <v>57</v>
      </c>
      <c r="E110" t="s">
        <v>58</v>
      </c>
      <c r="F110" t="s">
        <v>19</v>
      </c>
      <c r="G110">
        <v>7</v>
      </c>
      <c r="H110">
        <v>26630.77</v>
      </c>
      <c r="I110">
        <v>0</v>
      </c>
      <c r="J110">
        <v>186415.39</v>
      </c>
      <c r="K110">
        <v>0</v>
      </c>
      <c r="L110">
        <v>0.1</v>
      </c>
      <c r="M110">
        <v>18641.54</v>
      </c>
      <c r="N110">
        <v>205056.93</v>
      </c>
      <c r="O110" t="s">
        <v>35</v>
      </c>
    </row>
    <row r="111" spans="1:15" x14ac:dyDescent="0.35">
      <c r="A111" t="s">
        <v>161</v>
      </c>
      <c r="B111" s="2">
        <v>46193</v>
      </c>
      <c r="C111" t="s">
        <v>60</v>
      </c>
      <c r="D111" t="s">
        <v>61</v>
      </c>
      <c r="E111" t="s">
        <v>62</v>
      </c>
      <c r="F111" t="s">
        <v>19</v>
      </c>
      <c r="G111">
        <v>7</v>
      </c>
      <c r="H111">
        <v>219354.68</v>
      </c>
      <c r="I111">
        <v>0.15</v>
      </c>
      <c r="J111">
        <v>1535482.76</v>
      </c>
      <c r="K111">
        <v>230322.41</v>
      </c>
      <c r="L111">
        <v>0.1</v>
      </c>
      <c r="M111">
        <v>130516.04</v>
      </c>
      <c r="N111">
        <v>1435676.39</v>
      </c>
      <c r="O111" t="s">
        <v>35</v>
      </c>
    </row>
    <row r="112" spans="1:15" x14ac:dyDescent="0.35">
      <c r="A112" t="s">
        <v>162</v>
      </c>
      <c r="B112" s="2">
        <v>46199</v>
      </c>
      <c r="C112" t="s">
        <v>16</v>
      </c>
      <c r="D112" t="s">
        <v>17</v>
      </c>
      <c r="E112" t="s">
        <v>18</v>
      </c>
      <c r="F112" t="s">
        <v>19</v>
      </c>
      <c r="G112">
        <v>2</v>
      </c>
      <c r="H112">
        <v>632346.26</v>
      </c>
      <c r="I112">
        <v>0.05</v>
      </c>
      <c r="J112">
        <v>1264692.52</v>
      </c>
      <c r="K112">
        <v>63234.63</v>
      </c>
      <c r="L112">
        <v>7.4999999999999997E-2</v>
      </c>
      <c r="M112">
        <v>90109.34</v>
      </c>
      <c r="N112">
        <v>1291567.23</v>
      </c>
      <c r="O112" t="s">
        <v>35</v>
      </c>
    </row>
    <row r="113" spans="1:15" x14ac:dyDescent="0.35">
      <c r="A113" t="s">
        <v>163</v>
      </c>
      <c r="B113" s="2">
        <v>46226</v>
      </c>
      <c r="C113" t="s">
        <v>22</v>
      </c>
      <c r="D113" t="s">
        <v>23</v>
      </c>
      <c r="E113" t="s">
        <v>24</v>
      </c>
      <c r="F113" t="s">
        <v>19</v>
      </c>
      <c r="G113">
        <v>4</v>
      </c>
      <c r="H113">
        <v>18205.84</v>
      </c>
      <c r="I113">
        <v>0.15</v>
      </c>
      <c r="J113">
        <v>72823.360000000001</v>
      </c>
      <c r="K113">
        <v>10923.5</v>
      </c>
      <c r="L113">
        <v>0.1</v>
      </c>
      <c r="M113">
        <v>6189.99</v>
      </c>
      <c r="N113">
        <v>68089.850000000006</v>
      </c>
      <c r="O113" t="s">
        <v>35</v>
      </c>
    </row>
    <row r="114" spans="1:15" x14ac:dyDescent="0.35">
      <c r="A114" t="s">
        <v>164</v>
      </c>
      <c r="B114" s="2">
        <v>46118</v>
      </c>
      <c r="C114" t="s">
        <v>27</v>
      </c>
      <c r="D114" t="s">
        <v>28</v>
      </c>
      <c r="E114" t="s">
        <v>29</v>
      </c>
      <c r="F114" t="s">
        <v>30</v>
      </c>
      <c r="G114">
        <v>1</v>
      </c>
      <c r="H114">
        <v>98712.02</v>
      </c>
      <c r="I114">
        <v>0.1</v>
      </c>
      <c r="J114">
        <v>98712.02</v>
      </c>
      <c r="K114">
        <v>9871.2000000000007</v>
      </c>
      <c r="L114">
        <v>7.4999999999999997E-2</v>
      </c>
      <c r="M114">
        <v>6663.06</v>
      </c>
      <c r="N114">
        <v>95503.88</v>
      </c>
      <c r="O114" t="s">
        <v>25</v>
      </c>
    </row>
    <row r="115" spans="1:15" x14ac:dyDescent="0.35">
      <c r="A115" t="s">
        <v>165</v>
      </c>
      <c r="B115" s="2">
        <v>46187</v>
      </c>
      <c r="C115" t="s">
        <v>32</v>
      </c>
      <c r="D115" t="s">
        <v>33</v>
      </c>
      <c r="E115" t="s">
        <v>34</v>
      </c>
      <c r="F115" t="s">
        <v>30</v>
      </c>
      <c r="G115">
        <v>7</v>
      </c>
      <c r="H115">
        <v>11957.21</v>
      </c>
      <c r="I115">
        <v>0</v>
      </c>
      <c r="J115">
        <v>83700.47</v>
      </c>
      <c r="K115">
        <v>0</v>
      </c>
      <c r="L115">
        <v>0.1</v>
      </c>
      <c r="M115">
        <v>8370.0499999999993</v>
      </c>
      <c r="N115">
        <v>92070.52</v>
      </c>
      <c r="O115" t="s">
        <v>35</v>
      </c>
    </row>
    <row r="116" spans="1:15" x14ac:dyDescent="0.35">
      <c r="A116" t="s">
        <v>166</v>
      </c>
      <c r="B116" s="2">
        <v>46199</v>
      </c>
      <c r="C116" t="s">
        <v>37</v>
      </c>
      <c r="D116" t="s">
        <v>38</v>
      </c>
      <c r="E116" t="s">
        <v>39</v>
      </c>
      <c r="F116" t="s">
        <v>40</v>
      </c>
      <c r="G116">
        <v>6</v>
      </c>
      <c r="H116">
        <v>157250.62</v>
      </c>
      <c r="I116">
        <v>0</v>
      </c>
      <c r="J116">
        <v>943503.72</v>
      </c>
      <c r="K116">
        <v>0</v>
      </c>
      <c r="L116">
        <v>0.1</v>
      </c>
      <c r="M116">
        <v>94350.37</v>
      </c>
      <c r="N116">
        <v>1037854.09</v>
      </c>
      <c r="O116" t="s">
        <v>35</v>
      </c>
    </row>
    <row r="117" spans="1:15" x14ac:dyDescent="0.35">
      <c r="A117" t="s">
        <v>167</v>
      </c>
      <c r="B117" s="2">
        <v>46255</v>
      </c>
      <c r="C117" t="s">
        <v>42</v>
      </c>
      <c r="D117" t="s">
        <v>43</v>
      </c>
      <c r="E117" t="s">
        <v>44</v>
      </c>
      <c r="F117" t="s">
        <v>45</v>
      </c>
      <c r="G117">
        <v>5</v>
      </c>
      <c r="H117">
        <v>78790.25</v>
      </c>
      <c r="I117">
        <v>0</v>
      </c>
      <c r="J117">
        <v>393951.25</v>
      </c>
      <c r="K117">
        <v>0</v>
      </c>
      <c r="L117">
        <v>7.4999999999999997E-2</v>
      </c>
      <c r="M117">
        <v>29546.34</v>
      </c>
      <c r="N117">
        <v>423497.59</v>
      </c>
      <c r="O117" t="s">
        <v>35</v>
      </c>
    </row>
    <row r="118" spans="1:15" x14ac:dyDescent="0.35">
      <c r="A118" t="s">
        <v>168</v>
      </c>
      <c r="B118" s="2">
        <v>46259</v>
      </c>
      <c r="C118" t="s">
        <v>47</v>
      </c>
      <c r="D118" t="s">
        <v>48</v>
      </c>
      <c r="E118" t="s">
        <v>49</v>
      </c>
      <c r="F118" t="s">
        <v>50</v>
      </c>
      <c r="G118">
        <v>3</v>
      </c>
      <c r="H118">
        <v>129010.61</v>
      </c>
      <c r="I118">
        <v>0.05</v>
      </c>
      <c r="J118">
        <v>387031.83</v>
      </c>
      <c r="K118">
        <v>19351.59</v>
      </c>
      <c r="L118">
        <v>7.4999999999999997E-2</v>
      </c>
      <c r="M118">
        <v>27576.02</v>
      </c>
      <c r="N118">
        <v>395256.26</v>
      </c>
      <c r="O118" t="s">
        <v>35</v>
      </c>
    </row>
    <row r="119" spans="1:15" x14ac:dyDescent="0.35">
      <c r="A119" t="s">
        <v>169</v>
      </c>
      <c r="B119" s="2">
        <v>46144</v>
      </c>
      <c r="C119" t="s">
        <v>52</v>
      </c>
      <c r="D119" t="s">
        <v>53</v>
      </c>
      <c r="E119" t="s">
        <v>54</v>
      </c>
      <c r="F119" t="s">
        <v>50</v>
      </c>
      <c r="G119">
        <v>7</v>
      </c>
      <c r="H119">
        <v>99272.66</v>
      </c>
      <c r="I119">
        <v>0</v>
      </c>
      <c r="J119">
        <v>694908.62</v>
      </c>
      <c r="K119">
        <v>0</v>
      </c>
      <c r="L119">
        <v>0.1</v>
      </c>
      <c r="M119">
        <v>69490.86</v>
      </c>
      <c r="N119">
        <v>764399.48</v>
      </c>
      <c r="O119" t="s">
        <v>35</v>
      </c>
    </row>
    <row r="120" spans="1:15" x14ac:dyDescent="0.35">
      <c r="A120" t="s">
        <v>170</v>
      </c>
      <c r="B120" s="2">
        <v>46250</v>
      </c>
      <c r="C120" t="s">
        <v>56</v>
      </c>
      <c r="D120" t="s">
        <v>57</v>
      </c>
      <c r="E120" t="s">
        <v>58</v>
      </c>
      <c r="F120" t="s">
        <v>19</v>
      </c>
      <c r="G120">
        <v>7</v>
      </c>
      <c r="H120">
        <v>23181.79</v>
      </c>
      <c r="I120">
        <v>0.15</v>
      </c>
      <c r="J120">
        <v>162272.53</v>
      </c>
      <c r="K120">
        <v>24340.880000000001</v>
      </c>
      <c r="L120">
        <v>0.1</v>
      </c>
      <c r="M120">
        <v>13793.16</v>
      </c>
      <c r="N120">
        <v>151724.81</v>
      </c>
      <c r="O120" t="s">
        <v>35</v>
      </c>
    </row>
    <row r="121" spans="1:15" x14ac:dyDescent="0.35">
      <c r="A121" t="s">
        <v>171</v>
      </c>
      <c r="B121" s="2">
        <v>46034</v>
      </c>
      <c r="C121" t="s">
        <v>60</v>
      </c>
      <c r="D121" t="s">
        <v>61</v>
      </c>
      <c r="E121" t="s">
        <v>62</v>
      </c>
      <c r="F121" t="s">
        <v>19</v>
      </c>
      <c r="G121">
        <v>0</v>
      </c>
      <c r="H121">
        <v>218439.12</v>
      </c>
      <c r="I121">
        <v>0.15</v>
      </c>
      <c r="J121">
        <v>1310634.72</v>
      </c>
      <c r="K121">
        <v>196595.21</v>
      </c>
      <c r="L121">
        <v>7.4999999999999997E-2</v>
      </c>
      <c r="M121">
        <v>83552.960000000006</v>
      </c>
      <c r="N121">
        <v>1197592.47</v>
      </c>
      <c r="O121" t="s">
        <v>35</v>
      </c>
    </row>
    <row r="122" spans="1:15" x14ac:dyDescent="0.35">
      <c r="A122" t="s">
        <v>172</v>
      </c>
      <c r="B122" s="2">
        <v>46204</v>
      </c>
      <c r="C122" t="s">
        <v>16</v>
      </c>
      <c r="D122" t="s">
        <v>17</v>
      </c>
      <c r="E122" t="s">
        <v>18</v>
      </c>
      <c r="F122" t="s">
        <v>19</v>
      </c>
      <c r="G122">
        <v>4</v>
      </c>
      <c r="H122">
        <v>646224.63</v>
      </c>
      <c r="I122">
        <v>0.05</v>
      </c>
      <c r="J122">
        <v>2584898.52</v>
      </c>
      <c r="K122">
        <v>129244.93</v>
      </c>
      <c r="L122">
        <v>0.1</v>
      </c>
      <c r="M122">
        <v>245565.36</v>
      </c>
      <c r="N122">
        <v>2701218.95</v>
      </c>
      <c r="O122" t="s">
        <v>35</v>
      </c>
    </row>
    <row r="123" spans="1:15" x14ac:dyDescent="0.35">
      <c r="A123" t="s">
        <v>173</v>
      </c>
      <c r="B123" s="2">
        <v>46217</v>
      </c>
      <c r="C123" t="s">
        <v>22</v>
      </c>
      <c r="D123" t="s">
        <v>23</v>
      </c>
      <c r="E123" t="s">
        <v>24</v>
      </c>
      <c r="F123" t="s">
        <v>19</v>
      </c>
      <c r="G123">
        <v>5</v>
      </c>
      <c r="H123">
        <v>19366.259999999998</v>
      </c>
      <c r="I123">
        <v>0.15</v>
      </c>
      <c r="J123">
        <v>96831.3</v>
      </c>
      <c r="K123">
        <v>14524.7</v>
      </c>
      <c r="L123">
        <v>7.4999999999999997E-2</v>
      </c>
      <c r="M123">
        <v>6173</v>
      </c>
      <c r="N123">
        <v>88479.6</v>
      </c>
      <c r="O123" t="s">
        <v>35</v>
      </c>
    </row>
    <row r="124" spans="1:15" x14ac:dyDescent="0.35">
      <c r="A124" t="s">
        <v>174</v>
      </c>
      <c r="B124" s="2">
        <v>46183</v>
      </c>
      <c r="C124" t="s">
        <v>27</v>
      </c>
      <c r="D124" t="s">
        <v>28</v>
      </c>
      <c r="E124" t="s">
        <v>29</v>
      </c>
      <c r="F124" t="s">
        <v>30</v>
      </c>
      <c r="G124">
        <v>1</v>
      </c>
      <c r="H124">
        <v>93650.34</v>
      </c>
      <c r="I124">
        <v>0</v>
      </c>
      <c r="J124">
        <v>93650.34</v>
      </c>
      <c r="K124">
        <v>0</v>
      </c>
      <c r="L124">
        <v>0.1</v>
      </c>
      <c r="M124">
        <v>9365.0300000000007</v>
      </c>
      <c r="N124">
        <v>103015.37</v>
      </c>
      <c r="O124" t="s">
        <v>35</v>
      </c>
    </row>
    <row r="125" spans="1:15" x14ac:dyDescent="0.35">
      <c r="A125" t="s">
        <v>175</v>
      </c>
      <c r="B125" s="2">
        <v>46223</v>
      </c>
      <c r="C125" t="s">
        <v>32</v>
      </c>
      <c r="D125" t="s">
        <v>33</v>
      </c>
      <c r="E125" t="s">
        <v>34</v>
      </c>
      <c r="F125" t="s">
        <v>30</v>
      </c>
      <c r="G125">
        <v>3</v>
      </c>
      <c r="H125">
        <v>12619.27</v>
      </c>
      <c r="I125">
        <v>0.05</v>
      </c>
      <c r="J125">
        <v>37857.81</v>
      </c>
      <c r="K125">
        <v>1892.89</v>
      </c>
      <c r="L125">
        <v>7.4999999999999997E-2</v>
      </c>
      <c r="M125">
        <v>2697.37</v>
      </c>
      <c r="N125">
        <v>38662.29</v>
      </c>
      <c r="O125" t="s">
        <v>20</v>
      </c>
    </row>
    <row r="126" spans="1:15" x14ac:dyDescent="0.35">
      <c r="A126" t="s">
        <v>176</v>
      </c>
      <c r="B126" s="2">
        <v>46135</v>
      </c>
      <c r="C126" t="s">
        <v>37</v>
      </c>
      <c r="D126" t="s">
        <v>38</v>
      </c>
      <c r="E126" t="s">
        <v>39</v>
      </c>
      <c r="F126" t="s">
        <v>40</v>
      </c>
      <c r="G126">
        <v>2</v>
      </c>
      <c r="H126">
        <v>139985.96</v>
      </c>
      <c r="I126">
        <v>0.05</v>
      </c>
      <c r="J126">
        <v>279971.92</v>
      </c>
      <c r="K126">
        <v>13998.6</v>
      </c>
      <c r="L126">
        <v>0.1</v>
      </c>
      <c r="M126">
        <v>26597.33</v>
      </c>
      <c r="N126">
        <v>292570.65000000002</v>
      </c>
      <c r="O126" t="s">
        <v>35</v>
      </c>
    </row>
    <row r="127" spans="1:15" x14ac:dyDescent="0.35">
      <c r="A127" t="s">
        <v>177</v>
      </c>
      <c r="B127" s="2">
        <v>46265</v>
      </c>
      <c r="C127" t="s">
        <v>42</v>
      </c>
      <c r="D127" t="s">
        <v>43</v>
      </c>
      <c r="E127" t="s">
        <v>44</v>
      </c>
      <c r="F127" t="s">
        <v>45</v>
      </c>
      <c r="G127">
        <v>1</v>
      </c>
      <c r="H127">
        <v>88775.39</v>
      </c>
      <c r="I127">
        <v>0.05</v>
      </c>
      <c r="J127">
        <v>88775.39</v>
      </c>
      <c r="K127">
        <v>4438.7700000000004</v>
      </c>
      <c r="L127">
        <v>0.1</v>
      </c>
      <c r="M127">
        <v>8433.66</v>
      </c>
      <c r="N127">
        <v>92770.28</v>
      </c>
      <c r="O127" t="s">
        <v>35</v>
      </c>
    </row>
    <row r="128" spans="1:15" x14ac:dyDescent="0.35">
      <c r="A128" t="s">
        <v>178</v>
      </c>
      <c r="B128" s="2">
        <v>46085</v>
      </c>
      <c r="C128" t="s">
        <v>47</v>
      </c>
      <c r="D128" t="s">
        <v>48</v>
      </c>
      <c r="E128" t="s">
        <v>49</v>
      </c>
      <c r="F128" t="s">
        <v>50</v>
      </c>
      <c r="G128">
        <v>5</v>
      </c>
      <c r="H128">
        <v>124791.9</v>
      </c>
      <c r="I128">
        <v>0</v>
      </c>
      <c r="J128">
        <v>623959.5</v>
      </c>
      <c r="K128">
        <v>0</v>
      </c>
      <c r="L128">
        <v>0.1</v>
      </c>
      <c r="M128">
        <v>62395.95</v>
      </c>
      <c r="N128">
        <v>686355.45</v>
      </c>
      <c r="O128" t="s">
        <v>20</v>
      </c>
    </row>
    <row r="129" spans="1:15" x14ac:dyDescent="0.35">
      <c r="A129" t="s">
        <v>179</v>
      </c>
      <c r="B129" s="2">
        <v>46155</v>
      </c>
      <c r="C129" t="s">
        <v>52</v>
      </c>
      <c r="D129" t="s">
        <v>53</v>
      </c>
      <c r="E129" t="s">
        <v>54</v>
      </c>
      <c r="F129" t="s">
        <v>50</v>
      </c>
      <c r="G129">
        <v>5</v>
      </c>
      <c r="H129">
        <v>93016.19</v>
      </c>
      <c r="I129">
        <v>0</v>
      </c>
      <c r="J129">
        <v>465080.95</v>
      </c>
      <c r="K129">
        <v>0</v>
      </c>
      <c r="L129">
        <v>7.4999999999999997E-2</v>
      </c>
      <c r="M129">
        <v>34881.07</v>
      </c>
      <c r="N129">
        <v>499962.02</v>
      </c>
      <c r="O129" t="s">
        <v>35</v>
      </c>
    </row>
    <row r="130" spans="1:15" x14ac:dyDescent="0.35">
      <c r="A130" t="s">
        <v>180</v>
      </c>
      <c r="B130" s="2">
        <v>46121</v>
      </c>
      <c r="C130" t="s">
        <v>56</v>
      </c>
      <c r="D130" t="s">
        <v>57</v>
      </c>
      <c r="E130" t="s">
        <v>58</v>
      </c>
      <c r="F130" t="s">
        <v>19</v>
      </c>
      <c r="G130">
        <v>7</v>
      </c>
      <c r="H130">
        <v>26458.89</v>
      </c>
      <c r="I130">
        <v>0</v>
      </c>
      <c r="J130">
        <v>185212.23</v>
      </c>
      <c r="K130">
        <v>0</v>
      </c>
      <c r="L130">
        <v>7.4999999999999997E-2</v>
      </c>
      <c r="M130">
        <v>13890.92</v>
      </c>
      <c r="N130">
        <v>199103.15</v>
      </c>
      <c r="O130" t="s">
        <v>20</v>
      </c>
    </row>
    <row r="131" spans="1:15" x14ac:dyDescent="0.35">
      <c r="A131" t="s">
        <v>181</v>
      </c>
      <c r="B131" s="2">
        <v>46191</v>
      </c>
      <c r="C131" t="s">
        <v>60</v>
      </c>
      <c r="D131" t="s">
        <v>61</v>
      </c>
      <c r="E131" t="s">
        <v>62</v>
      </c>
      <c r="F131" t="s">
        <v>19</v>
      </c>
      <c r="G131">
        <v>3</v>
      </c>
      <c r="H131">
        <v>221951.2</v>
      </c>
      <c r="I131">
        <v>0</v>
      </c>
      <c r="J131">
        <v>665853.6</v>
      </c>
      <c r="K131">
        <v>0</v>
      </c>
      <c r="L131">
        <v>7.4999999999999997E-2</v>
      </c>
      <c r="M131">
        <v>49939.02</v>
      </c>
      <c r="N131">
        <v>715792.62</v>
      </c>
      <c r="O131" t="s">
        <v>20</v>
      </c>
    </row>
    <row r="132" spans="1:15" x14ac:dyDescent="0.35">
      <c r="A132" t="s">
        <v>182</v>
      </c>
      <c r="B132" s="2">
        <v>46136</v>
      </c>
      <c r="C132" t="s">
        <v>16</v>
      </c>
      <c r="D132" t="s">
        <v>17</v>
      </c>
      <c r="E132" t="s">
        <v>18</v>
      </c>
      <c r="F132" t="s">
        <v>19</v>
      </c>
      <c r="G132">
        <v>3</v>
      </c>
      <c r="H132">
        <v>623724.19999999995</v>
      </c>
      <c r="I132">
        <v>0.05</v>
      </c>
      <c r="J132">
        <v>1871172.6</v>
      </c>
      <c r="K132">
        <v>93558.63</v>
      </c>
      <c r="L132">
        <v>7.4999999999999997E-2</v>
      </c>
      <c r="M132">
        <v>133321.04999999999</v>
      </c>
      <c r="N132">
        <v>1910935.02</v>
      </c>
      <c r="O132" t="s">
        <v>35</v>
      </c>
    </row>
    <row r="133" spans="1:15" x14ac:dyDescent="0.35">
      <c r="A133" t="s">
        <v>183</v>
      </c>
      <c r="B133" s="2">
        <v>46139</v>
      </c>
      <c r="C133" t="s">
        <v>22</v>
      </c>
      <c r="D133" t="s">
        <v>23</v>
      </c>
      <c r="E133" t="s">
        <v>24</v>
      </c>
      <c r="F133" t="s">
        <v>19</v>
      </c>
      <c r="G133">
        <v>5</v>
      </c>
      <c r="H133">
        <v>18305.78</v>
      </c>
      <c r="I133">
        <v>0.05</v>
      </c>
      <c r="J133">
        <v>91528.9</v>
      </c>
      <c r="K133">
        <v>4576.4399999999996</v>
      </c>
      <c r="L133">
        <v>7.4999999999999997E-2</v>
      </c>
      <c r="M133">
        <v>6521.43</v>
      </c>
      <c r="N133">
        <v>93473.89</v>
      </c>
      <c r="O133" t="s">
        <v>20</v>
      </c>
    </row>
    <row r="134" spans="1:15" x14ac:dyDescent="0.35">
      <c r="A134" t="s">
        <v>184</v>
      </c>
      <c r="B134" s="2">
        <v>46180</v>
      </c>
      <c r="C134" t="s">
        <v>27</v>
      </c>
      <c r="D134" t="s">
        <v>28</v>
      </c>
      <c r="E134" t="s">
        <v>29</v>
      </c>
      <c r="F134" t="s">
        <v>30</v>
      </c>
      <c r="G134">
        <v>2</v>
      </c>
      <c r="H134">
        <v>92844.07</v>
      </c>
      <c r="I134">
        <v>0.15</v>
      </c>
      <c r="J134">
        <v>185688.14</v>
      </c>
      <c r="K134">
        <v>27853.22</v>
      </c>
      <c r="L134">
        <v>7.4999999999999997E-2</v>
      </c>
      <c r="M134">
        <v>11837.62</v>
      </c>
      <c r="N134">
        <v>169672.54</v>
      </c>
      <c r="O134" t="s">
        <v>35</v>
      </c>
    </row>
    <row r="135" spans="1:15" x14ac:dyDescent="0.35">
      <c r="A135" t="s">
        <v>185</v>
      </c>
      <c r="B135" s="2">
        <v>46038</v>
      </c>
      <c r="C135" t="s">
        <v>32</v>
      </c>
      <c r="D135" t="s">
        <v>33</v>
      </c>
      <c r="E135" t="s">
        <v>34</v>
      </c>
      <c r="F135" t="s">
        <v>30</v>
      </c>
      <c r="G135">
        <v>6</v>
      </c>
      <c r="H135">
        <v>12522.85</v>
      </c>
      <c r="I135">
        <v>0.1</v>
      </c>
      <c r="J135">
        <v>75137.100000000006</v>
      </c>
      <c r="K135">
        <v>7513.71</v>
      </c>
      <c r="L135">
        <v>0.1</v>
      </c>
      <c r="M135">
        <v>6762.34</v>
      </c>
      <c r="N135">
        <v>74385.73</v>
      </c>
      <c r="O135" t="s">
        <v>20</v>
      </c>
    </row>
    <row r="136" spans="1:15" x14ac:dyDescent="0.35">
      <c r="A136" t="s">
        <v>186</v>
      </c>
      <c r="B136" s="2">
        <v>46083</v>
      </c>
      <c r="C136" t="s">
        <v>37</v>
      </c>
      <c r="D136" t="s">
        <v>38</v>
      </c>
      <c r="E136" t="s">
        <v>39</v>
      </c>
      <c r="F136" t="s">
        <v>40</v>
      </c>
      <c r="G136">
        <v>4</v>
      </c>
      <c r="H136">
        <v>151462.51</v>
      </c>
      <c r="I136">
        <v>0.05</v>
      </c>
      <c r="J136">
        <v>605850.04</v>
      </c>
      <c r="K136">
        <v>30292.5</v>
      </c>
      <c r="L136">
        <v>7.4999999999999997E-2</v>
      </c>
      <c r="M136">
        <v>43166.82</v>
      </c>
      <c r="N136">
        <v>618724.36</v>
      </c>
      <c r="O136" t="s">
        <v>20</v>
      </c>
    </row>
    <row r="137" spans="1:15" x14ac:dyDescent="0.35">
      <c r="A137" t="s">
        <v>187</v>
      </c>
      <c r="B137" s="2">
        <v>46111</v>
      </c>
      <c r="C137" t="s">
        <v>42</v>
      </c>
      <c r="D137" t="s">
        <v>43</v>
      </c>
      <c r="E137" t="s">
        <v>44</v>
      </c>
      <c r="F137" t="s">
        <v>45</v>
      </c>
      <c r="G137">
        <v>7</v>
      </c>
      <c r="H137">
        <v>78591.44</v>
      </c>
      <c r="I137">
        <v>0.1</v>
      </c>
      <c r="J137">
        <v>550140.07999999996</v>
      </c>
      <c r="K137">
        <v>55014.01</v>
      </c>
      <c r="L137">
        <v>7.4999999999999997E-2</v>
      </c>
      <c r="M137">
        <v>37134.46</v>
      </c>
      <c r="N137">
        <v>532260.53</v>
      </c>
      <c r="O137" t="s">
        <v>20</v>
      </c>
    </row>
    <row r="138" spans="1:15" x14ac:dyDescent="0.35">
      <c r="A138" t="s">
        <v>188</v>
      </c>
      <c r="B138" s="2">
        <v>46252</v>
      </c>
      <c r="C138" t="s">
        <v>47</v>
      </c>
      <c r="D138" t="s">
        <v>48</v>
      </c>
      <c r="E138" t="s">
        <v>49</v>
      </c>
      <c r="F138" t="s">
        <v>50</v>
      </c>
      <c r="G138">
        <v>3</v>
      </c>
      <c r="H138">
        <v>114488.91</v>
      </c>
      <c r="I138">
        <v>0.05</v>
      </c>
      <c r="J138">
        <v>343466.73</v>
      </c>
      <c r="K138">
        <v>17173.34</v>
      </c>
      <c r="L138">
        <v>0.1</v>
      </c>
      <c r="M138">
        <v>32629.34</v>
      </c>
      <c r="N138">
        <v>358922.73</v>
      </c>
      <c r="O138" t="s">
        <v>35</v>
      </c>
    </row>
    <row r="139" spans="1:15" x14ac:dyDescent="0.35">
      <c r="A139" t="s">
        <v>189</v>
      </c>
      <c r="B139" s="2">
        <v>46205</v>
      </c>
      <c r="C139" t="s">
        <v>52</v>
      </c>
      <c r="D139" t="s">
        <v>53</v>
      </c>
      <c r="E139" t="s">
        <v>54</v>
      </c>
      <c r="F139" t="s">
        <v>50</v>
      </c>
      <c r="G139">
        <v>2</v>
      </c>
      <c r="H139">
        <v>102186.31</v>
      </c>
      <c r="I139">
        <v>0.1</v>
      </c>
      <c r="J139">
        <v>204372.62</v>
      </c>
      <c r="K139">
        <v>20437.259999999998</v>
      </c>
      <c r="L139">
        <v>7.4999999999999997E-2</v>
      </c>
      <c r="M139">
        <v>13795.15</v>
      </c>
      <c r="N139">
        <v>197730.51</v>
      </c>
      <c r="O139" t="s">
        <v>25</v>
      </c>
    </row>
    <row r="140" spans="1:15" x14ac:dyDescent="0.35">
      <c r="A140" t="s">
        <v>190</v>
      </c>
      <c r="B140" s="2">
        <v>46105</v>
      </c>
      <c r="C140" t="s">
        <v>56</v>
      </c>
      <c r="D140" t="s">
        <v>57</v>
      </c>
      <c r="E140" t="s">
        <v>58</v>
      </c>
      <c r="F140" t="s">
        <v>19</v>
      </c>
      <c r="G140">
        <v>4</v>
      </c>
      <c r="H140">
        <v>25189.79</v>
      </c>
      <c r="I140">
        <v>0</v>
      </c>
      <c r="J140">
        <v>100759.16</v>
      </c>
      <c r="K140">
        <v>0</v>
      </c>
      <c r="L140">
        <v>0.1</v>
      </c>
      <c r="M140">
        <v>10075.92</v>
      </c>
      <c r="N140">
        <v>110835.08</v>
      </c>
      <c r="O140" t="s">
        <v>35</v>
      </c>
    </row>
    <row r="141" spans="1:15" x14ac:dyDescent="0.35">
      <c r="A141" t="s">
        <v>191</v>
      </c>
      <c r="B141" s="2">
        <v>46055</v>
      </c>
      <c r="C141" t="s">
        <v>60</v>
      </c>
      <c r="D141" t="s">
        <v>61</v>
      </c>
      <c r="E141" t="s">
        <v>62</v>
      </c>
      <c r="F141" t="s">
        <v>19</v>
      </c>
      <c r="G141">
        <v>7</v>
      </c>
      <c r="H141">
        <v>220830.8</v>
      </c>
      <c r="I141">
        <v>0</v>
      </c>
      <c r="J141">
        <v>1545815.6</v>
      </c>
      <c r="K141">
        <v>0</v>
      </c>
      <c r="L141">
        <v>7.4999999999999997E-2</v>
      </c>
      <c r="M141">
        <v>115936.17</v>
      </c>
      <c r="N141">
        <v>1661751.77</v>
      </c>
      <c r="O141" t="s">
        <v>35</v>
      </c>
    </row>
    <row r="142" spans="1:15" x14ac:dyDescent="0.35">
      <c r="A142" t="s">
        <v>192</v>
      </c>
      <c r="B142" s="2">
        <v>46242</v>
      </c>
      <c r="C142" t="s">
        <v>16</v>
      </c>
      <c r="D142" t="s">
        <v>17</v>
      </c>
      <c r="E142" t="s">
        <v>18</v>
      </c>
      <c r="F142" t="s">
        <v>19</v>
      </c>
      <c r="G142">
        <v>1</v>
      </c>
      <c r="H142">
        <v>649180.09</v>
      </c>
      <c r="I142">
        <v>0.15</v>
      </c>
      <c r="J142">
        <v>649180.09</v>
      </c>
      <c r="K142">
        <v>97377.01</v>
      </c>
      <c r="L142">
        <v>0.1</v>
      </c>
      <c r="M142">
        <v>55180.31</v>
      </c>
      <c r="N142">
        <v>606983.39</v>
      </c>
      <c r="O142" t="s">
        <v>35</v>
      </c>
    </row>
    <row r="143" spans="1:15" x14ac:dyDescent="0.35">
      <c r="A143" t="s">
        <v>193</v>
      </c>
      <c r="B143" s="2">
        <v>46261</v>
      </c>
      <c r="C143" t="s">
        <v>22</v>
      </c>
      <c r="D143" t="s">
        <v>23</v>
      </c>
      <c r="E143" t="s">
        <v>24</v>
      </c>
      <c r="F143" t="s">
        <v>19</v>
      </c>
      <c r="G143">
        <v>6</v>
      </c>
      <c r="H143">
        <v>17978.740000000002</v>
      </c>
      <c r="I143">
        <v>0</v>
      </c>
      <c r="J143">
        <v>107872.44</v>
      </c>
      <c r="K143">
        <v>0</v>
      </c>
      <c r="L143">
        <v>0.1</v>
      </c>
      <c r="M143">
        <v>10787.24</v>
      </c>
      <c r="N143">
        <v>118659.68</v>
      </c>
      <c r="O143" t="s">
        <v>20</v>
      </c>
    </row>
    <row r="144" spans="1:15" x14ac:dyDescent="0.35">
      <c r="A144" t="s">
        <v>194</v>
      </c>
      <c r="B144" s="2">
        <v>46209</v>
      </c>
      <c r="C144" t="s">
        <v>27</v>
      </c>
      <c r="D144" t="s">
        <v>28</v>
      </c>
      <c r="E144" t="s">
        <v>29</v>
      </c>
      <c r="F144" t="s">
        <v>30</v>
      </c>
      <c r="G144">
        <v>3</v>
      </c>
      <c r="H144">
        <v>88553.12</v>
      </c>
      <c r="I144">
        <v>0</v>
      </c>
      <c r="J144">
        <v>265659.36</v>
      </c>
      <c r="K144">
        <v>0</v>
      </c>
      <c r="L144">
        <v>7.4999999999999997E-2</v>
      </c>
      <c r="M144">
        <v>19924.45</v>
      </c>
      <c r="N144">
        <v>285583.81</v>
      </c>
      <c r="O144" t="s">
        <v>20</v>
      </c>
    </row>
    <row r="145" spans="1:15" x14ac:dyDescent="0.35">
      <c r="A145" t="s">
        <v>195</v>
      </c>
      <c r="B145" s="2">
        <v>46130</v>
      </c>
      <c r="C145" t="s">
        <v>32</v>
      </c>
      <c r="D145" t="s">
        <v>33</v>
      </c>
      <c r="E145" t="s">
        <v>34</v>
      </c>
      <c r="F145" t="s">
        <v>30</v>
      </c>
      <c r="G145">
        <v>3</v>
      </c>
      <c r="H145">
        <v>11306.55</v>
      </c>
      <c r="I145">
        <v>0.15</v>
      </c>
      <c r="J145">
        <v>33919.65</v>
      </c>
      <c r="K145">
        <v>5087.95</v>
      </c>
      <c r="L145">
        <v>0.1</v>
      </c>
      <c r="M145">
        <v>2883.17</v>
      </c>
      <c r="N145">
        <v>31714.87</v>
      </c>
      <c r="O145" t="s">
        <v>20</v>
      </c>
    </row>
    <row r="146" spans="1:15" x14ac:dyDescent="0.35">
      <c r="A146" t="s">
        <v>196</v>
      </c>
      <c r="B146" s="2">
        <v>46119</v>
      </c>
      <c r="C146" t="s">
        <v>37</v>
      </c>
      <c r="D146" t="s">
        <v>38</v>
      </c>
      <c r="E146" t="s">
        <v>39</v>
      </c>
      <c r="F146" t="s">
        <v>40</v>
      </c>
      <c r="G146">
        <v>1</v>
      </c>
      <c r="H146">
        <v>159522.92000000001</v>
      </c>
      <c r="I146">
        <v>0.1</v>
      </c>
      <c r="J146">
        <v>159522.92000000001</v>
      </c>
      <c r="K146">
        <v>15952.29</v>
      </c>
      <c r="L146">
        <v>7.4999999999999997E-2</v>
      </c>
      <c r="M146">
        <v>10767.8</v>
      </c>
      <c r="N146">
        <v>154338.43</v>
      </c>
      <c r="O146" t="s">
        <v>25</v>
      </c>
    </row>
    <row r="147" spans="1:15" x14ac:dyDescent="0.35">
      <c r="A147" t="s">
        <v>197</v>
      </c>
      <c r="B147" s="2">
        <v>46031</v>
      </c>
      <c r="C147" t="s">
        <v>42</v>
      </c>
      <c r="D147" t="s">
        <v>43</v>
      </c>
      <c r="E147" t="s">
        <v>44</v>
      </c>
      <c r="F147" t="s">
        <v>45</v>
      </c>
      <c r="G147">
        <v>5</v>
      </c>
      <c r="H147">
        <v>80815.13</v>
      </c>
      <c r="I147">
        <v>0.1</v>
      </c>
      <c r="J147">
        <v>404075.65</v>
      </c>
      <c r="K147">
        <v>40407.56</v>
      </c>
      <c r="L147">
        <v>7.4999999999999997E-2</v>
      </c>
      <c r="M147">
        <v>27275.11</v>
      </c>
      <c r="N147">
        <v>390943.2</v>
      </c>
      <c r="O147" t="s">
        <v>35</v>
      </c>
    </row>
    <row r="148" spans="1:15" x14ac:dyDescent="0.35">
      <c r="A148" t="s">
        <v>198</v>
      </c>
      <c r="B148" s="2">
        <v>46027</v>
      </c>
      <c r="C148" t="s">
        <v>47</v>
      </c>
      <c r="D148" t="s">
        <v>48</v>
      </c>
      <c r="E148" t="s">
        <v>49</v>
      </c>
      <c r="F148" t="s">
        <v>50</v>
      </c>
      <c r="G148">
        <v>2</v>
      </c>
      <c r="H148">
        <v>113798.6</v>
      </c>
      <c r="I148">
        <v>0</v>
      </c>
      <c r="J148">
        <v>227597.2</v>
      </c>
      <c r="K148">
        <v>0</v>
      </c>
      <c r="L148">
        <v>0.1</v>
      </c>
      <c r="M148">
        <v>22759.72</v>
      </c>
      <c r="N148">
        <v>250356.92</v>
      </c>
      <c r="O148" t="s">
        <v>35</v>
      </c>
    </row>
    <row r="149" spans="1:15" x14ac:dyDescent="0.35">
      <c r="A149" t="s">
        <v>199</v>
      </c>
      <c r="B149" s="2">
        <v>46104</v>
      </c>
      <c r="C149" t="s">
        <v>52</v>
      </c>
      <c r="D149" t="s">
        <v>53</v>
      </c>
      <c r="E149" t="s">
        <v>54</v>
      </c>
      <c r="F149" t="s">
        <v>50</v>
      </c>
      <c r="G149">
        <v>4</v>
      </c>
      <c r="H149">
        <v>95301.34</v>
      </c>
      <c r="I149">
        <v>0.05</v>
      </c>
      <c r="J149">
        <v>381205.36</v>
      </c>
      <c r="K149">
        <v>19060.27</v>
      </c>
      <c r="L149">
        <v>7.4999999999999997E-2</v>
      </c>
      <c r="M149">
        <v>27160.880000000001</v>
      </c>
      <c r="N149">
        <v>389305.97</v>
      </c>
      <c r="O149" t="s">
        <v>35</v>
      </c>
    </row>
    <row r="150" spans="1:15" x14ac:dyDescent="0.35">
      <c r="A150" t="s">
        <v>200</v>
      </c>
      <c r="B150" s="2">
        <v>46147</v>
      </c>
      <c r="C150" t="s">
        <v>56</v>
      </c>
      <c r="D150" t="s">
        <v>57</v>
      </c>
      <c r="E150" t="s">
        <v>58</v>
      </c>
      <c r="F150" t="s">
        <v>19</v>
      </c>
      <c r="G150">
        <v>3</v>
      </c>
      <c r="H150">
        <v>23157.25</v>
      </c>
      <c r="I150">
        <v>0</v>
      </c>
      <c r="J150">
        <v>69471.75</v>
      </c>
      <c r="K150">
        <v>0</v>
      </c>
      <c r="L150">
        <v>7.4999999999999997E-2</v>
      </c>
      <c r="M150">
        <v>5210.38</v>
      </c>
      <c r="N150">
        <v>74682.13</v>
      </c>
      <c r="O150" t="s">
        <v>20</v>
      </c>
    </row>
    <row r="151" spans="1:15" x14ac:dyDescent="0.35">
      <c r="A151" t="s">
        <v>201</v>
      </c>
      <c r="B151" s="2">
        <v>46107</v>
      </c>
      <c r="C151" t="s">
        <v>60</v>
      </c>
      <c r="D151" t="s">
        <v>61</v>
      </c>
      <c r="E151" t="s">
        <v>62</v>
      </c>
      <c r="F151" t="s">
        <v>19</v>
      </c>
      <c r="G151">
        <v>6</v>
      </c>
      <c r="H151">
        <v>207925.61</v>
      </c>
      <c r="I151">
        <v>0.15</v>
      </c>
      <c r="J151">
        <v>1247553.6599999999</v>
      </c>
      <c r="K151">
        <v>187133.05</v>
      </c>
      <c r="L151">
        <v>7.4999999999999997E-2</v>
      </c>
      <c r="M151">
        <v>79531.55</v>
      </c>
      <c r="N151">
        <v>1139952.1599999999</v>
      </c>
      <c r="O151" t="s">
        <v>35</v>
      </c>
    </row>
    <row r="152" spans="1:15" x14ac:dyDescent="0.35">
      <c r="A152" t="s">
        <v>202</v>
      </c>
      <c r="B152" s="2">
        <v>46206</v>
      </c>
      <c r="C152" t="s">
        <v>16</v>
      </c>
      <c r="D152" t="s">
        <v>17</v>
      </c>
      <c r="E152" t="s">
        <v>18</v>
      </c>
      <c r="F152" t="s">
        <v>19</v>
      </c>
      <c r="G152">
        <v>1</v>
      </c>
      <c r="H152">
        <v>606789.77</v>
      </c>
      <c r="I152">
        <v>0.1</v>
      </c>
      <c r="J152">
        <v>606789.77</v>
      </c>
      <c r="K152">
        <v>60678.98</v>
      </c>
      <c r="L152">
        <v>7.4999999999999997E-2</v>
      </c>
      <c r="M152">
        <v>40958.31</v>
      </c>
      <c r="N152">
        <v>587069.1</v>
      </c>
      <c r="O152" t="s">
        <v>35</v>
      </c>
    </row>
    <row r="153" spans="1:15" x14ac:dyDescent="0.35">
      <c r="A153" t="s">
        <v>203</v>
      </c>
      <c r="B153" s="2">
        <v>46054</v>
      </c>
      <c r="C153" t="s">
        <v>22</v>
      </c>
      <c r="D153" t="s">
        <v>23</v>
      </c>
      <c r="E153" t="s">
        <v>24</v>
      </c>
      <c r="F153" t="s">
        <v>19</v>
      </c>
      <c r="G153">
        <v>7</v>
      </c>
      <c r="H153">
        <v>19221.240000000002</v>
      </c>
      <c r="I153">
        <v>0.05</v>
      </c>
      <c r="J153">
        <v>134548.68</v>
      </c>
      <c r="K153">
        <v>6727.43</v>
      </c>
      <c r="L153">
        <v>0.1</v>
      </c>
      <c r="M153">
        <v>12782.12</v>
      </c>
      <c r="N153">
        <v>140603.37</v>
      </c>
      <c r="O153" t="s">
        <v>35</v>
      </c>
    </row>
    <row r="154" spans="1:15" x14ac:dyDescent="0.35">
      <c r="A154" t="s">
        <v>204</v>
      </c>
      <c r="B154" s="2">
        <v>46082</v>
      </c>
      <c r="C154" t="s">
        <v>27</v>
      </c>
      <c r="D154" t="s">
        <v>28</v>
      </c>
      <c r="E154" t="s">
        <v>29</v>
      </c>
      <c r="F154" t="s">
        <v>30</v>
      </c>
      <c r="G154">
        <v>2</v>
      </c>
      <c r="H154">
        <v>98761.56</v>
      </c>
      <c r="I154">
        <v>0.05</v>
      </c>
      <c r="J154">
        <v>197523.12</v>
      </c>
      <c r="K154">
        <v>9876.16</v>
      </c>
      <c r="L154">
        <v>7.4999999999999997E-2</v>
      </c>
      <c r="M154">
        <v>14073.52</v>
      </c>
      <c r="N154">
        <v>201720.48</v>
      </c>
      <c r="O154" t="s">
        <v>35</v>
      </c>
    </row>
    <row r="155" spans="1:15" x14ac:dyDescent="0.35">
      <c r="A155" t="s">
        <v>205</v>
      </c>
      <c r="B155" s="2">
        <v>46265</v>
      </c>
      <c r="C155" t="s">
        <v>32</v>
      </c>
      <c r="D155" t="s">
        <v>33</v>
      </c>
      <c r="E155" t="s">
        <v>34</v>
      </c>
      <c r="F155" t="s">
        <v>30</v>
      </c>
      <c r="G155">
        <v>3</v>
      </c>
      <c r="H155">
        <v>12758.8</v>
      </c>
      <c r="I155">
        <v>0.05</v>
      </c>
      <c r="J155">
        <v>38276.400000000001</v>
      </c>
      <c r="K155">
        <v>1913.82</v>
      </c>
      <c r="L155">
        <v>7.4999999999999997E-2</v>
      </c>
      <c r="M155">
        <v>2727.19</v>
      </c>
      <c r="N155">
        <v>39089.769999999997</v>
      </c>
      <c r="O155" t="s">
        <v>35</v>
      </c>
    </row>
    <row r="156" spans="1:15" x14ac:dyDescent="0.35">
      <c r="A156" t="s">
        <v>206</v>
      </c>
      <c r="B156" s="2">
        <v>46041</v>
      </c>
      <c r="C156" t="s">
        <v>37</v>
      </c>
      <c r="D156" t="s">
        <v>38</v>
      </c>
      <c r="E156" t="s">
        <v>39</v>
      </c>
      <c r="F156" t="s">
        <v>40</v>
      </c>
      <c r="G156">
        <v>2</v>
      </c>
      <c r="H156">
        <v>148737.9</v>
      </c>
      <c r="I156">
        <v>0.1</v>
      </c>
      <c r="J156">
        <v>297475.8</v>
      </c>
      <c r="K156">
        <v>29747.58</v>
      </c>
      <c r="L156">
        <v>7.4999999999999997E-2</v>
      </c>
      <c r="M156">
        <v>20079.62</v>
      </c>
      <c r="N156">
        <v>287807.84000000003</v>
      </c>
      <c r="O156" t="s">
        <v>35</v>
      </c>
    </row>
    <row r="157" spans="1:15" x14ac:dyDescent="0.35">
      <c r="A157" t="s">
        <v>207</v>
      </c>
      <c r="B157" s="2">
        <v>46211</v>
      </c>
      <c r="C157" t="s">
        <v>42</v>
      </c>
      <c r="D157" t="s">
        <v>43</v>
      </c>
      <c r="E157" t="s">
        <v>44</v>
      </c>
      <c r="F157" t="s">
        <v>45</v>
      </c>
      <c r="G157">
        <v>7</v>
      </c>
      <c r="H157">
        <v>83331.06</v>
      </c>
      <c r="I157">
        <v>0.05</v>
      </c>
      <c r="J157">
        <v>583317.42000000004</v>
      </c>
      <c r="K157">
        <v>29165.87</v>
      </c>
      <c r="L157">
        <v>7.4999999999999997E-2</v>
      </c>
      <c r="M157">
        <v>41561.370000000003</v>
      </c>
      <c r="N157">
        <v>595712.92000000004</v>
      </c>
      <c r="O157" t="s">
        <v>20</v>
      </c>
    </row>
    <row r="158" spans="1:15" x14ac:dyDescent="0.35">
      <c r="A158" t="s">
        <v>208</v>
      </c>
      <c r="B158" s="2">
        <v>46171</v>
      </c>
      <c r="C158" t="s">
        <v>47</v>
      </c>
      <c r="D158" t="s">
        <v>48</v>
      </c>
      <c r="E158" t="s">
        <v>49</v>
      </c>
      <c r="F158" t="s">
        <v>50</v>
      </c>
      <c r="G158">
        <v>6</v>
      </c>
      <c r="H158">
        <v>116687.95</v>
      </c>
      <c r="I158">
        <v>0.15</v>
      </c>
      <c r="J158">
        <v>700127.7</v>
      </c>
      <c r="K158">
        <v>105019.15</v>
      </c>
      <c r="L158">
        <v>7.4999999999999997E-2</v>
      </c>
      <c r="M158">
        <v>44633.14</v>
      </c>
      <c r="N158">
        <v>639741.68999999994</v>
      </c>
      <c r="O158" t="s">
        <v>35</v>
      </c>
    </row>
    <row r="159" spans="1:15" x14ac:dyDescent="0.35">
      <c r="A159" t="s">
        <v>209</v>
      </c>
      <c r="B159" s="2">
        <v>46135</v>
      </c>
      <c r="C159" t="s">
        <v>52</v>
      </c>
      <c r="D159" t="s">
        <v>53</v>
      </c>
      <c r="E159" t="s">
        <v>54</v>
      </c>
      <c r="F159" t="s">
        <v>50</v>
      </c>
      <c r="G159">
        <v>1</v>
      </c>
      <c r="H159">
        <v>102865.64</v>
      </c>
      <c r="I159">
        <v>0.1</v>
      </c>
      <c r="J159">
        <v>102865.64</v>
      </c>
      <c r="K159">
        <v>10286.56</v>
      </c>
      <c r="L159">
        <v>7.4999999999999997E-2</v>
      </c>
      <c r="M159">
        <v>6943.43</v>
      </c>
      <c r="N159">
        <v>99522.51</v>
      </c>
      <c r="O159" t="s">
        <v>35</v>
      </c>
    </row>
    <row r="160" spans="1:15" x14ac:dyDescent="0.35">
      <c r="A160" t="s">
        <v>210</v>
      </c>
      <c r="B160" s="2">
        <v>46034</v>
      </c>
      <c r="C160" t="s">
        <v>56</v>
      </c>
      <c r="D160" t="s">
        <v>57</v>
      </c>
      <c r="E160" t="s">
        <v>58</v>
      </c>
      <c r="F160" t="s">
        <v>19</v>
      </c>
      <c r="G160">
        <v>4</v>
      </c>
      <c r="H160">
        <v>25148.43</v>
      </c>
      <c r="I160">
        <v>0.05</v>
      </c>
      <c r="J160">
        <v>100593.72</v>
      </c>
      <c r="K160">
        <v>5029.6899999999996</v>
      </c>
      <c r="L160">
        <v>7.4999999999999997E-2</v>
      </c>
      <c r="M160">
        <v>7167.3</v>
      </c>
      <c r="N160">
        <v>102731.33</v>
      </c>
      <c r="O160" t="s">
        <v>20</v>
      </c>
    </row>
    <row r="161" spans="1:15" x14ac:dyDescent="0.35">
      <c r="A161" t="s">
        <v>211</v>
      </c>
      <c r="B161" s="2">
        <v>46032</v>
      </c>
      <c r="C161" t="s">
        <v>60</v>
      </c>
      <c r="D161" t="s">
        <v>61</v>
      </c>
      <c r="E161" t="s">
        <v>62</v>
      </c>
      <c r="F161" t="s">
        <v>19</v>
      </c>
      <c r="G161">
        <v>4</v>
      </c>
      <c r="H161">
        <v>206890.83</v>
      </c>
      <c r="I161">
        <v>0</v>
      </c>
      <c r="J161">
        <v>827563.32</v>
      </c>
      <c r="K161">
        <v>0</v>
      </c>
      <c r="L161">
        <v>7.4999999999999997E-2</v>
      </c>
      <c r="M161">
        <v>62067.25</v>
      </c>
      <c r="N161">
        <v>889630.57</v>
      </c>
      <c r="O161" t="s">
        <v>25</v>
      </c>
    </row>
    <row r="162" spans="1:15" x14ac:dyDescent="0.35">
      <c r="A162" t="s">
        <v>212</v>
      </c>
      <c r="B162" s="2">
        <v>46224</v>
      </c>
      <c r="C162" t="s">
        <v>16</v>
      </c>
      <c r="D162" t="s">
        <v>17</v>
      </c>
      <c r="E162" t="s">
        <v>18</v>
      </c>
      <c r="F162" t="s">
        <v>19</v>
      </c>
      <c r="G162">
        <v>2</v>
      </c>
      <c r="H162">
        <v>623412.73</v>
      </c>
      <c r="I162">
        <v>0.1</v>
      </c>
      <c r="J162">
        <v>1246825.46</v>
      </c>
      <c r="K162">
        <v>124682.55</v>
      </c>
      <c r="L162">
        <v>7.4999999999999997E-2</v>
      </c>
      <c r="M162">
        <v>84160.72</v>
      </c>
      <c r="N162">
        <v>1206303.6299999999</v>
      </c>
      <c r="O162" t="s">
        <v>20</v>
      </c>
    </row>
    <row r="163" spans="1:15" x14ac:dyDescent="0.35">
      <c r="A163" t="s">
        <v>213</v>
      </c>
      <c r="B163" s="2">
        <v>46096</v>
      </c>
      <c r="C163" t="s">
        <v>22</v>
      </c>
      <c r="D163" t="s">
        <v>23</v>
      </c>
      <c r="E163" t="s">
        <v>24</v>
      </c>
      <c r="F163" t="s">
        <v>19</v>
      </c>
      <c r="G163">
        <v>1</v>
      </c>
      <c r="H163">
        <v>16581.7</v>
      </c>
      <c r="I163">
        <v>0</v>
      </c>
      <c r="J163">
        <v>16581.7</v>
      </c>
      <c r="K163">
        <v>0</v>
      </c>
      <c r="L163">
        <v>0.1</v>
      </c>
      <c r="M163">
        <v>1658.17</v>
      </c>
      <c r="N163">
        <v>18239.87</v>
      </c>
      <c r="O163" t="s">
        <v>35</v>
      </c>
    </row>
    <row r="164" spans="1:15" x14ac:dyDescent="0.35">
      <c r="A164" t="s">
        <v>214</v>
      </c>
      <c r="B164" s="2">
        <v>46120</v>
      </c>
      <c r="C164" t="s">
        <v>27</v>
      </c>
      <c r="D164" t="s">
        <v>28</v>
      </c>
      <c r="E164" t="s">
        <v>29</v>
      </c>
      <c r="F164" t="s">
        <v>30</v>
      </c>
      <c r="G164">
        <v>4</v>
      </c>
      <c r="H164">
        <v>100332.43</v>
      </c>
      <c r="I164">
        <v>0.05</v>
      </c>
      <c r="J164">
        <v>401329.72</v>
      </c>
      <c r="K164">
        <v>20066.490000000002</v>
      </c>
      <c r="L164">
        <v>0.1</v>
      </c>
      <c r="M164">
        <v>38126.32</v>
      </c>
      <c r="N164">
        <v>419389.55</v>
      </c>
      <c r="O164" t="s">
        <v>35</v>
      </c>
    </row>
    <row r="165" spans="1:15" x14ac:dyDescent="0.35">
      <c r="A165" t="s">
        <v>215</v>
      </c>
      <c r="B165" s="2">
        <v>46057</v>
      </c>
      <c r="C165" t="s">
        <v>32</v>
      </c>
      <c r="D165" t="s">
        <v>33</v>
      </c>
      <c r="E165" t="s">
        <v>34</v>
      </c>
      <c r="F165" t="s">
        <v>30</v>
      </c>
      <c r="G165">
        <v>7</v>
      </c>
      <c r="H165">
        <v>12657.24</v>
      </c>
      <c r="I165">
        <v>0.1</v>
      </c>
      <c r="J165">
        <v>88600.68</v>
      </c>
      <c r="K165">
        <v>8860.07</v>
      </c>
      <c r="L165">
        <v>7.4999999999999997E-2</v>
      </c>
      <c r="M165">
        <v>5980.55</v>
      </c>
      <c r="N165">
        <v>85721.16</v>
      </c>
      <c r="O165" t="s">
        <v>35</v>
      </c>
    </row>
    <row r="166" spans="1:15" x14ac:dyDescent="0.35">
      <c r="A166" t="s">
        <v>216</v>
      </c>
      <c r="B166" s="2">
        <v>46238</v>
      </c>
      <c r="C166" t="s">
        <v>37</v>
      </c>
      <c r="D166" t="s">
        <v>38</v>
      </c>
      <c r="E166" t="s">
        <v>39</v>
      </c>
      <c r="F166" t="s">
        <v>40</v>
      </c>
      <c r="G166">
        <v>4</v>
      </c>
      <c r="H166">
        <v>-5000</v>
      </c>
      <c r="I166">
        <v>0.05</v>
      </c>
      <c r="J166">
        <v>647736.52</v>
      </c>
      <c r="K166">
        <v>32386.83</v>
      </c>
      <c r="L166">
        <v>0.1</v>
      </c>
      <c r="M166">
        <v>61534.97</v>
      </c>
      <c r="N166">
        <v>676884.66</v>
      </c>
      <c r="O166" t="s">
        <v>25</v>
      </c>
    </row>
    <row r="167" spans="1:15" x14ac:dyDescent="0.35">
      <c r="A167" t="s">
        <v>217</v>
      </c>
      <c r="B167" s="2">
        <v>46120</v>
      </c>
      <c r="C167" t="s">
        <v>42</v>
      </c>
      <c r="D167" t="s">
        <v>43</v>
      </c>
      <c r="E167" t="s">
        <v>44</v>
      </c>
      <c r="F167" t="s">
        <v>45</v>
      </c>
      <c r="G167">
        <v>4</v>
      </c>
      <c r="H167">
        <v>78272.08</v>
      </c>
      <c r="I167">
        <v>0.05</v>
      </c>
      <c r="J167">
        <v>313088.32</v>
      </c>
      <c r="K167">
        <v>15654.42</v>
      </c>
      <c r="L167">
        <v>7.4999999999999997E-2</v>
      </c>
      <c r="M167">
        <v>22307.54</v>
      </c>
      <c r="N167">
        <v>319741.44</v>
      </c>
      <c r="O167" t="s">
        <v>35</v>
      </c>
    </row>
    <row r="168" spans="1:15" x14ac:dyDescent="0.35">
      <c r="A168" t="s">
        <v>218</v>
      </c>
      <c r="B168" s="2">
        <v>46229</v>
      </c>
      <c r="C168" t="s">
        <v>47</v>
      </c>
      <c r="D168" t="s">
        <v>48</v>
      </c>
      <c r="E168" t="s">
        <v>49</v>
      </c>
      <c r="F168" t="s">
        <v>50</v>
      </c>
      <c r="G168">
        <v>3</v>
      </c>
      <c r="H168">
        <v>126160.54</v>
      </c>
      <c r="I168">
        <v>0.05</v>
      </c>
      <c r="J168">
        <v>378481.62</v>
      </c>
      <c r="K168">
        <v>18924.080000000002</v>
      </c>
      <c r="L168">
        <v>7.4999999999999997E-2</v>
      </c>
      <c r="M168">
        <v>26966.82</v>
      </c>
      <c r="N168">
        <v>386524.36</v>
      </c>
      <c r="O168" t="s">
        <v>20</v>
      </c>
    </row>
    <row r="169" spans="1:15" x14ac:dyDescent="0.35">
      <c r="A169" t="s">
        <v>219</v>
      </c>
      <c r="B169" s="2">
        <v>46180</v>
      </c>
      <c r="C169" t="s">
        <v>52</v>
      </c>
      <c r="D169" t="s">
        <v>53</v>
      </c>
      <c r="E169" t="s">
        <v>54</v>
      </c>
      <c r="F169" t="s">
        <v>50</v>
      </c>
      <c r="G169">
        <v>3</v>
      </c>
      <c r="H169">
        <v>105417.32</v>
      </c>
      <c r="I169">
        <v>0</v>
      </c>
      <c r="J169">
        <v>316251.96000000002</v>
      </c>
      <c r="K169">
        <v>0</v>
      </c>
      <c r="L169">
        <v>0.1</v>
      </c>
      <c r="M169">
        <v>31625.200000000001</v>
      </c>
      <c r="N169">
        <v>347877.16</v>
      </c>
      <c r="O169" t="s">
        <v>35</v>
      </c>
    </row>
    <row r="170" spans="1:15" x14ac:dyDescent="0.35">
      <c r="A170" t="s">
        <v>220</v>
      </c>
      <c r="B170" s="2">
        <v>46166</v>
      </c>
      <c r="C170" t="s">
        <v>56</v>
      </c>
      <c r="D170" t="s">
        <v>57</v>
      </c>
      <c r="E170" t="s">
        <v>58</v>
      </c>
      <c r="F170" t="s">
        <v>19</v>
      </c>
      <c r="G170">
        <v>3</v>
      </c>
      <c r="H170">
        <v>23798.03</v>
      </c>
      <c r="I170">
        <v>0.15</v>
      </c>
      <c r="J170">
        <v>71394.09</v>
      </c>
      <c r="K170">
        <v>10709.11</v>
      </c>
      <c r="L170">
        <v>7.4999999999999997E-2</v>
      </c>
      <c r="M170">
        <v>4551.37</v>
      </c>
      <c r="N170">
        <v>65236.35</v>
      </c>
      <c r="O170" t="s">
        <v>35</v>
      </c>
    </row>
    <row r="171" spans="1:15" x14ac:dyDescent="0.35">
      <c r="A171" t="s">
        <v>221</v>
      </c>
      <c r="B171" s="2">
        <v>46152</v>
      </c>
      <c r="C171" t="s">
        <v>60</v>
      </c>
      <c r="D171" t="s">
        <v>61</v>
      </c>
      <c r="E171" t="s">
        <v>62</v>
      </c>
      <c r="F171" t="s">
        <v>19</v>
      </c>
      <c r="G171">
        <v>2</v>
      </c>
      <c r="H171">
        <v>229425.84</v>
      </c>
      <c r="I171">
        <v>0.05</v>
      </c>
      <c r="J171">
        <v>458851.68</v>
      </c>
      <c r="K171">
        <v>22942.58</v>
      </c>
      <c r="L171">
        <v>7.4999999999999997E-2</v>
      </c>
      <c r="M171">
        <v>32693.18</v>
      </c>
      <c r="N171">
        <v>468602.28</v>
      </c>
      <c r="O171" t="s">
        <v>35</v>
      </c>
    </row>
    <row r="172" spans="1:15" x14ac:dyDescent="0.35">
      <c r="A172" t="s">
        <v>222</v>
      </c>
      <c r="B172" s="2">
        <v>46160</v>
      </c>
      <c r="C172" t="s">
        <v>16</v>
      </c>
      <c r="D172" t="s">
        <v>17</v>
      </c>
      <c r="E172" t="s">
        <v>18</v>
      </c>
      <c r="F172" t="s">
        <v>19</v>
      </c>
      <c r="G172">
        <v>4</v>
      </c>
      <c r="H172">
        <v>631346.79</v>
      </c>
      <c r="I172">
        <v>0.1</v>
      </c>
      <c r="J172">
        <v>2525387.16</v>
      </c>
      <c r="K172">
        <v>252538.72</v>
      </c>
      <c r="L172">
        <v>7.4999999999999997E-2</v>
      </c>
      <c r="M172">
        <v>170463.63</v>
      </c>
      <c r="N172">
        <v>2443312.0699999998</v>
      </c>
      <c r="O172" t="s">
        <v>35</v>
      </c>
    </row>
    <row r="173" spans="1:15" x14ac:dyDescent="0.35">
      <c r="A173" t="s">
        <v>223</v>
      </c>
      <c r="B173" s="2">
        <v>46156</v>
      </c>
      <c r="C173" t="s">
        <v>22</v>
      </c>
      <c r="D173" t="s">
        <v>23</v>
      </c>
      <c r="E173" t="s">
        <v>24</v>
      </c>
      <c r="F173" t="s">
        <v>19</v>
      </c>
      <c r="G173">
        <v>2</v>
      </c>
      <c r="H173">
        <v>18139.98</v>
      </c>
      <c r="I173">
        <v>0.05</v>
      </c>
      <c r="J173">
        <v>36279.96</v>
      </c>
      <c r="K173">
        <v>1814</v>
      </c>
      <c r="L173">
        <v>0.1</v>
      </c>
      <c r="M173">
        <v>3446.6</v>
      </c>
      <c r="N173">
        <v>37912.559999999998</v>
      </c>
      <c r="O173" t="s">
        <v>35</v>
      </c>
    </row>
    <row r="174" spans="1:15" x14ac:dyDescent="0.35">
      <c r="A174" t="s">
        <v>224</v>
      </c>
      <c r="B174" s="2">
        <v>46099</v>
      </c>
      <c r="C174" t="s">
        <v>27</v>
      </c>
      <c r="D174" t="s">
        <v>28</v>
      </c>
      <c r="E174" t="s">
        <v>29</v>
      </c>
      <c r="F174" t="s">
        <v>30</v>
      </c>
      <c r="G174">
        <v>2</v>
      </c>
      <c r="H174">
        <v>88735.6</v>
      </c>
      <c r="I174">
        <v>0.1</v>
      </c>
      <c r="J174">
        <v>177471.2</v>
      </c>
      <c r="K174">
        <v>17747.12</v>
      </c>
      <c r="L174">
        <v>7.4999999999999997E-2</v>
      </c>
      <c r="M174">
        <v>11979.31</v>
      </c>
      <c r="N174">
        <v>171703.39</v>
      </c>
      <c r="O174" t="s">
        <v>20</v>
      </c>
    </row>
    <row r="175" spans="1:15" x14ac:dyDescent="0.35">
      <c r="A175" t="s">
        <v>225</v>
      </c>
      <c r="B175" s="2">
        <v>46189</v>
      </c>
      <c r="C175" t="s">
        <v>32</v>
      </c>
      <c r="D175" t="s">
        <v>33</v>
      </c>
      <c r="E175" t="s">
        <v>34</v>
      </c>
      <c r="F175" t="s">
        <v>30</v>
      </c>
      <c r="G175">
        <v>3</v>
      </c>
      <c r="H175">
        <v>11948.48</v>
      </c>
      <c r="I175">
        <v>0.05</v>
      </c>
      <c r="J175">
        <v>35845.440000000002</v>
      </c>
      <c r="K175">
        <v>1792.27</v>
      </c>
      <c r="L175">
        <v>7.4999999999999997E-2</v>
      </c>
      <c r="M175">
        <v>2553.9899999999998</v>
      </c>
      <c r="N175">
        <v>36607.160000000003</v>
      </c>
      <c r="O175" t="s">
        <v>35</v>
      </c>
    </row>
    <row r="176" spans="1:15" x14ac:dyDescent="0.35">
      <c r="A176" t="s">
        <v>226</v>
      </c>
      <c r="B176" s="2">
        <v>46204</v>
      </c>
      <c r="C176" t="s">
        <v>37</v>
      </c>
      <c r="D176" t="s">
        <v>38</v>
      </c>
      <c r="E176" t="s">
        <v>39</v>
      </c>
      <c r="F176" t="s">
        <v>40</v>
      </c>
      <c r="G176">
        <v>1</v>
      </c>
      <c r="H176">
        <v>158417.46</v>
      </c>
      <c r="I176">
        <v>0.15</v>
      </c>
      <c r="J176">
        <v>158417.46</v>
      </c>
      <c r="K176">
        <v>23762.62</v>
      </c>
      <c r="L176">
        <v>0.1</v>
      </c>
      <c r="M176">
        <v>13465.48</v>
      </c>
      <c r="N176">
        <v>148120.32000000001</v>
      </c>
      <c r="O176" t="s">
        <v>35</v>
      </c>
    </row>
    <row r="177" spans="1:15" x14ac:dyDescent="0.35">
      <c r="A177" t="s">
        <v>227</v>
      </c>
      <c r="B177" s="2">
        <v>46061</v>
      </c>
      <c r="C177" t="s">
        <v>42</v>
      </c>
      <c r="D177" t="s">
        <v>43</v>
      </c>
      <c r="E177" t="s">
        <v>44</v>
      </c>
      <c r="F177" t="s">
        <v>45</v>
      </c>
      <c r="G177">
        <v>3</v>
      </c>
      <c r="H177">
        <v>90961.43</v>
      </c>
      <c r="I177">
        <v>0.15</v>
      </c>
      <c r="J177">
        <v>272884.28999999998</v>
      </c>
      <c r="K177">
        <v>40932.639999999999</v>
      </c>
      <c r="L177">
        <v>7.4999999999999997E-2</v>
      </c>
      <c r="M177">
        <v>17396.37</v>
      </c>
      <c r="N177">
        <v>249348.02</v>
      </c>
      <c r="O177" t="s">
        <v>25</v>
      </c>
    </row>
    <row r="178" spans="1:15" x14ac:dyDescent="0.35">
      <c r="A178" t="s">
        <v>228</v>
      </c>
      <c r="B178" s="2">
        <v>46037</v>
      </c>
      <c r="C178" t="s">
        <v>47</v>
      </c>
      <c r="D178" t="s">
        <v>48</v>
      </c>
      <c r="E178" t="s">
        <v>49</v>
      </c>
      <c r="F178" t="s">
        <v>50</v>
      </c>
      <c r="G178">
        <v>6</v>
      </c>
      <c r="H178">
        <v>111323.42</v>
      </c>
      <c r="I178">
        <v>0</v>
      </c>
      <c r="J178">
        <v>667940.52</v>
      </c>
      <c r="K178">
        <v>0</v>
      </c>
      <c r="L178">
        <v>0.1</v>
      </c>
      <c r="M178">
        <v>66794.05</v>
      </c>
      <c r="N178">
        <v>734734.57</v>
      </c>
      <c r="O178" t="s">
        <v>20</v>
      </c>
    </row>
    <row r="179" spans="1:15" x14ac:dyDescent="0.35">
      <c r="A179" t="s">
        <v>229</v>
      </c>
      <c r="B179" s="2">
        <v>46191</v>
      </c>
      <c r="C179" t="s">
        <v>52</v>
      </c>
      <c r="D179" t="s">
        <v>53</v>
      </c>
      <c r="E179" t="s">
        <v>54</v>
      </c>
      <c r="F179" t="s">
        <v>50</v>
      </c>
      <c r="G179">
        <v>6</v>
      </c>
      <c r="H179">
        <v>104792.59</v>
      </c>
      <c r="I179">
        <v>0.1</v>
      </c>
      <c r="J179">
        <v>628755.54</v>
      </c>
      <c r="K179">
        <v>62875.55</v>
      </c>
      <c r="L179">
        <v>7.4999999999999997E-2</v>
      </c>
      <c r="M179">
        <v>42441</v>
      </c>
      <c r="N179">
        <v>608320.99</v>
      </c>
      <c r="O179" t="s">
        <v>20</v>
      </c>
    </row>
    <row r="180" spans="1:15" x14ac:dyDescent="0.35">
      <c r="A180" t="s">
        <v>230</v>
      </c>
      <c r="B180" s="2">
        <v>46115</v>
      </c>
      <c r="C180" t="s">
        <v>56</v>
      </c>
      <c r="D180" t="s">
        <v>57</v>
      </c>
      <c r="E180" t="s">
        <v>58</v>
      </c>
      <c r="F180" t="s">
        <v>19</v>
      </c>
      <c r="G180">
        <v>3</v>
      </c>
      <c r="H180">
        <v>25535.03</v>
      </c>
      <c r="I180">
        <v>0.05</v>
      </c>
      <c r="J180">
        <v>76605.09</v>
      </c>
      <c r="K180">
        <v>3830.25</v>
      </c>
      <c r="L180">
        <v>0.1</v>
      </c>
      <c r="M180">
        <v>7277.48</v>
      </c>
      <c r="N180">
        <v>80052.320000000007</v>
      </c>
      <c r="O180" t="s">
        <v>25</v>
      </c>
    </row>
    <row r="181" spans="1:15" x14ac:dyDescent="0.35">
      <c r="A181" t="s">
        <v>231</v>
      </c>
      <c r="B181" s="2">
        <v>46130</v>
      </c>
      <c r="C181" t="s">
        <v>60</v>
      </c>
      <c r="D181" t="s">
        <v>61</v>
      </c>
      <c r="E181" t="s">
        <v>62</v>
      </c>
      <c r="F181" t="s">
        <v>19</v>
      </c>
      <c r="G181">
        <v>1</v>
      </c>
      <c r="H181">
        <v>226440.97</v>
      </c>
      <c r="I181">
        <v>0.15</v>
      </c>
      <c r="J181">
        <v>226440.97</v>
      </c>
      <c r="K181">
        <v>33966.15</v>
      </c>
      <c r="L181">
        <v>7.4999999999999997E-2</v>
      </c>
      <c r="M181">
        <v>14435.61</v>
      </c>
      <c r="N181">
        <v>206910.43</v>
      </c>
      <c r="O181" t="s">
        <v>35</v>
      </c>
    </row>
    <row r="182" spans="1:15" x14ac:dyDescent="0.35">
      <c r="A182" t="s">
        <v>232</v>
      </c>
      <c r="B182" s="2">
        <v>46089</v>
      </c>
      <c r="C182" t="s">
        <v>16</v>
      </c>
      <c r="D182" t="s">
        <v>17</v>
      </c>
      <c r="E182" t="s">
        <v>18</v>
      </c>
      <c r="F182" t="s">
        <v>19</v>
      </c>
      <c r="G182">
        <v>3</v>
      </c>
      <c r="H182">
        <v>662906.56000000006</v>
      </c>
      <c r="I182">
        <v>0</v>
      </c>
      <c r="J182">
        <v>1988719.68</v>
      </c>
      <c r="K182">
        <v>0</v>
      </c>
      <c r="L182">
        <v>7.4999999999999997E-2</v>
      </c>
      <c r="M182">
        <v>149153.98000000001</v>
      </c>
      <c r="N182">
        <v>2137873.66</v>
      </c>
      <c r="O182" t="s">
        <v>35</v>
      </c>
    </row>
    <row r="183" spans="1:15" x14ac:dyDescent="0.35">
      <c r="A183" t="s">
        <v>233</v>
      </c>
      <c r="B183" s="2">
        <v>46220</v>
      </c>
      <c r="C183" t="s">
        <v>22</v>
      </c>
      <c r="D183" t="s">
        <v>23</v>
      </c>
      <c r="E183" t="s">
        <v>24</v>
      </c>
      <c r="F183" t="s">
        <v>19</v>
      </c>
      <c r="G183">
        <v>1</v>
      </c>
      <c r="H183">
        <v>17583.439999999999</v>
      </c>
      <c r="I183">
        <v>0.1</v>
      </c>
      <c r="J183">
        <v>17583.439999999999</v>
      </c>
      <c r="K183">
        <v>1758.34</v>
      </c>
      <c r="L183">
        <v>7.4999999999999997E-2</v>
      </c>
      <c r="M183">
        <v>1186.8800000000001</v>
      </c>
      <c r="N183">
        <v>17011.98</v>
      </c>
      <c r="O183" t="s">
        <v>35</v>
      </c>
    </row>
    <row r="184" spans="1:15" x14ac:dyDescent="0.35">
      <c r="A184" t="s">
        <v>234</v>
      </c>
      <c r="B184" s="2">
        <v>46093</v>
      </c>
      <c r="C184" t="s">
        <v>27</v>
      </c>
      <c r="D184" t="s">
        <v>28</v>
      </c>
      <c r="E184" t="s">
        <v>29</v>
      </c>
      <c r="F184" t="s">
        <v>30</v>
      </c>
      <c r="G184">
        <v>3</v>
      </c>
      <c r="H184">
        <v>95651.31</v>
      </c>
      <c r="I184">
        <v>0.05</v>
      </c>
      <c r="J184">
        <v>286953.93</v>
      </c>
      <c r="K184">
        <v>14347.7</v>
      </c>
      <c r="L184">
        <v>0.1</v>
      </c>
      <c r="M184">
        <v>27260.62</v>
      </c>
      <c r="N184">
        <v>299866.84999999998</v>
      </c>
      <c r="O184" t="s">
        <v>20</v>
      </c>
    </row>
    <row r="185" spans="1:15" x14ac:dyDescent="0.35">
      <c r="A185" t="s">
        <v>235</v>
      </c>
      <c r="B185" s="2">
        <v>46183</v>
      </c>
      <c r="C185" t="s">
        <v>32</v>
      </c>
      <c r="D185" t="s">
        <v>33</v>
      </c>
      <c r="E185" t="s">
        <v>34</v>
      </c>
      <c r="F185" t="s">
        <v>30</v>
      </c>
      <c r="G185">
        <v>2</v>
      </c>
      <c r="H185">
        <v>11307.4</v>
      </c>
      <c r="I185">
        <v>0.1</v>
      </c>
      <c r="J185">
        <v>22614.799999999999</v>
      </c>
      <c r="K185">
        <v>2261.48</v>
      </c>
      <c r="L185">
        <v>7.4999999999999997E-2</v>
      </c>
      <c r="M185">
        <v>1526.5</v>
      </c>
      <c r="N185">
        <v>21879.82</v>
      </c>
      <c r="O185" t="s">
        <v>35</v>
      </c>
    </row>
    <row r="186" spans="1:15" x14ac:dyDescent="0.35">
      <c r="A186" t="s">
        <v>236</v>
      </c>
      <c r="B186" s="2">
        <v>46064</v>
      </c>
      <c r="C186" t="s">
        <v>37</v>
      </c>
      <c r="D186" t="s">
        <v>38</v>
      </c>
      <c r="E186" t="s">
        <v>39</v>
      </c>
      <c r="F186" t="s">
        <v>40</v>
      </c>
      <c r="G186">
        <v>6</v>
      </c>
      <c r="H186">
        <v>159453.42000000001</v>
      </c>
      <c r="I186">
        <v>0.15</v>
      </c>
      <c r="J186">
        <v>956720.52</v>
      </c>
      <c r="K186">
        <v>143508.07999999999</v>
      </c>
      <c r="L186">
        <v>7.4999999999999997E-2</v>
      </c>
      <c r="M186">
        <v>60990.93</v>
      </c>
      <c r="N186">
        <v>874203.37</v>
      </c>
      <c r="O186" t="s">
        <v>20</v>
      </c>
    </row>
    <row r="187" spans="1:15" x14ac:dyDescent="0.35">
      <c r="A187" t="s">
        <v>237</v>
      </c>
      <c r="B187" s="2">
        <v>46222</v>
      </c>
      <c r="C187" t="s">
        <v>42</v>
      </c>
      <c r="D187" t="s">
        <v>43</v>
      </c>
      <c r="E187" t="s">
        <v>44</v>
      </c>
      <c r="F187" t="s">
        <v>45</v>
      </c>
      <c r="G187">
        <v>5</v>
      </c>
      <c r="H187">
        <v>81579.45</v>
      </c>
      <c r="I187">
        <v>0.1</v>
      </c>
      <c r="J187">
        <v>407897.25</v>
      </c>
      <c r="K187">
        <v>40789.730000000003</v>
      </c>
      <c r="L187">
        <v>7.4999999999999997E-2</v>
      </c>
      <c r="M187">
        <v>27533.06</v>
      </c>
      <c r="N187">
        <v>394640.58</v>
      </c>
      <c r="O187" t="s">
        <v>20</v>
      </c>
    </row>
    <row r="188" spans="1:15" x14ac:dyDescent="0.35">
      <c r="A188" t="s">
        <v>238</v>
      </c>
      <c r="B188" s="2">
        <v>46144</v>
      </c>
      <c r="C188" t="s">
        <v>47</v>
      </c>
      <c r="D188" t="s">
        <v>48</v>
      </c>
      <c r="E188" t="s">
        <v>49</v>
      </c>
      <c r="F188" t="s">
        <v>50</v>
      </c>
      <c r="G188">
        <v>2</v>
      </c>
      <c r="H188">
        <v>119884.44</v>
      </c>
      <c r="I188">
        <v>0.05</v>
      </c>
      <c r="J188">
        <v>239768.88</v>
      </c>
      <c r="K188">
        <v>11988.44</v>
      </c>
      <c r="L188">
        <v>7.4999999999999997E-2</v>
      </c>
      <c r="M188">
        <v>17083.53</v>
      </c>
      <c r="N188">
        <v>244863.97</v>
      </c>
      <c r="O188" t="s">
        <v>20</v>
      </c>
    </row>
    <row r="189" spans="1:15" x14ac:dyDescent="0.35">
      <c r="A189" t="s">
        <v>239</v>
      </c>
      <c r="B189" s="2">
        <v>46206</v>
      </c>
      <c r="C189" t="s">
        <v>52</v>
      </c>
      <c r="D189" t="s">
        <v>53</v>
      </c>
      <c r="E189" t="s">
        <v>54</v>
      </c>
      <c r="F189" t="s">
        <v>50</v>
      </c>
      <c r="G189">
        <v>7</v>
      </c>
      <c r="H189">
        <v>98061.15</v>
      </c>
      <c r="I189">
        <v>0</v>
      </c>
      <c r="J189">
        <v>686428.05</v>
      </c>
      <c r="K189">
        <v>0</v>
      </c>
      <c r="L189">
        <v>0.1</v>
      </c>
      <c r="M189">
        <v>68642.81</v>
      </c>
      <c r="N189">
        <v>755070.86</v>
      </c>
      <c r="O189" t="s">
        <v>35</v>
      </c>
    </row>
    <row r="190" spans="1:15" x14ac:dyDescent="0.35">
      <c r="A190" t="s">
        <v>240</v>
      </c>
      <c r="B190" s="2">
        <v>46094</v>
      </c>
      <c r="C190" t="s">
        <v>56</v>
      </c>
      <c r="D190" t="s">
        <v>57</v>
      </c>
      <c r="E190" t="s">
        <v>58</v>
      </c>
      <c r="F190" t="s">
        <v>19</v>
      </c>
      <c r="G190">
        <v>5</v>
      </c>
      <c r="H190">
        <v>25159.439999999999</v>
      </c>
      <c r="I190">
        <v>0</v>
      </c>
      <c r="J190">
        <v>125797.2</v>
      </c>
      <c r="K190">
        <v>0</v>
      </c>
      <c r="L190">
        <v>7.4999999999999997E-2</v>
      </c>
      <c r="M190">
        <v>9434.7900000000009</v>
      </c>
      <c r="N190">
        <v>135231.99</v>
      </c>
      <c r="O190" t="s">
        <v>20</v>
      </c>
    </row>
    <row r="191" spans="1:15" x14ac:dyDescent="0.35">
      <c r="A191" t="s">
        <v>241</v>
      </c>
      <c r="B191" s="2">
        <v>46190</v>
      </c>
      <c r="C191" t="s">
        <v>60</v>
      </c>
      <c r="D191" t="s">
        <v>61</v>
      </c>
      <c r="E191" t="s">
        <v>62</v>
      </c>
      <c r="F191" t="s">
        <v>19</v>
      </c>
      <c r="G191">
        <v>2</v>
      </c>
      <c r="H191">
        <v>202829.55</v>
      </c>
      <c r="I191">
        <v>0.1</v>
      </c>
      <c r="J191">
        <v>405659.1</v>
      </c>
      <c r="K191">
        <v>40565.910000000003</v>
      </c>
      <c r="L191">
        <v>7.4999999999999997E-2</v>
      </c>
      <c r="M191">
        <v>27381.99</v>
      </c>
      <c r="N191">
        <v>392475.18</v>
      </c>
      <c r="O191" t="s">
        <v>35</v>
      </c>
    </row>
    <row r="192" spans="1:15" x14ac:dyDescent="0.35">
      <c r="A192" t="s">
        <v>242</v>
      </c>
      <c r="B192" s="2">
        <v>46100</v>
      </c>
      <c r="C192" t="s">
        <v>16</v>
      </c>
      <c r="D192" t="s">
        <v>17</v>
      </c>
      <c r="E192" t="s">
        <v>18</v>
      </c>
      <c r="F192" t="s">
        <v>19</v>
      </c>
      <c r="G192">
        <v>3</v>
      </c>
      <c r="H192">
        <v>660299.05000000005</v>
      </c>
      <c r="I192">
        <v>0.15</v>
      </c>
      <c r="J192">
        <v>1980897.15</v>
      </c>
      <c r="K192">
        <v>297134.57</v>
      </c>
      <c r="L192">
        <v>7.4999999999999997E-2</v>
      </c>
      <c r="M192">
        <v>126282.19</v>
      </c>
      <c r="N192">
        <v>1810044.77</v>
      </c>
      <c r="O192" t="s">
        <v>35</v>
      </c>
    </row>
    <row r="193" spans="1:15" x14ac:dyDescent="0.35">
      <c r="A193" t="s">
        <v>243</v>
      </c>
      <c r="B193" s="2">
        <v>46072</v>
      </c>
      <c r="C193" t="s">
        <v>22</v>
      </c>
      <c r="D193" t="s">
        <v>23</v>
      </c>
      <c r="E193" t="s">
        <v>24</v>
      </c>
      <c r="F193" t="s">
        <v>19</v>
      </c>
      <c r="G193">
        <v>6</v>
      </c>
      <c r="H193">
        <v>17714.45</v>
      </c>
      <c r="I193">
        <v>0.1</v>
      </c>
      <c r="J193">
        <v>106286.7</v>
      </c>
      <c r="K193">
        <v>10628.67</v>
      </c>
      <c r="L193">
        <v>0.1</v>
      </c>
      <c r="M193">
        <v>9565.7999999999993</v>
      </c>
      <c r="N193">
        <v>105223.83</v>
      </c>
      <c r="O193" t="s">
        <v>20</v>
      </c>
    </row>
    <row r="194" spans="1:15" x14ac:dyDescent="0.35">
      <c r="A194" t="s">
        <v>244</v>
      </c>
      <c r="B194" s="2">
        <v>46243</v>
      </c>
      <c r="C194" t="s">
        <v>27</v>
      </c>
      <c r="D194" t="s">
        <v>28</v>
      </c>
      <c r="E194" t="s">
        <v>29</v>
      </c>
      <c r="F194" t="s">
        <v>30</v>
      </c>
      <c r="G194">
        <v>2</v>
      </c>
      <c r="H194">
        <v>96310.69</v>
      </c>
      <c r="I194">
        <v>0.05</v>
      </c>
      <c r="J194">
        <v>192621.38</v>
      </c>
      <c r="K194">
        <v>9631.07</v>
      </c>
      <c r="L194">
        <v>0.1</v>
      </c>
      <c r="M194">
        <v>18299.03</v>
      </c>
      <c r="N194">
        <v>201289.34</v>
      </c>
      <c r="O194" t="s">
        <v>35</v>
      </c>
    </row>
    <row r="195" spans="1:15" x14ac:dyDescent="0.35">
      <c r="A195" t="s">
        <v>245</v>
      </c>
      <c r="B195" s="2">
        <v>46094</v>
      </c>
      <c r="C195" t="s">
        <v>32</v>
      </c>
      <c r="D195" t="s">
        <v>33</v>
      </c>
      <c r="E195" t="s">
        <v>34</v>
      </c>
      <c r="F195" t="s">
        <v>30</v>
      </c>
      <c r="G195">
        <v>4</v>
      </c>
      <c r="H195">
        <v>12178.49</v>
      </c>
      <c r="I195">
        <v>0.15</v>
      </c>
      <c r="J195">
        <v>48713.96</v>
      </c>
      <c r="K195">
        <v>7307.09</v>
      </c>
      <c r="L195">
        <v>0.1</v>
      </c>
      <c r="M195">
        <v>4140.6899999999996</v>
      </c>
      <c r="N195">
        <v>45547.56</v>
      </c>
      <c r="O195" t="s">
        <v>20</v>
      </c>
    </row>
    <row r="196" spans="1:15" x14ac:dyDescent="0.35">
      <c r="A196" t="s">
        <v>246</v>
      </c>
      <c r="B196" s="2">
        <v>46118</v>
      </c>
      <c r="C196" t="s">
        <v>37</v>
      </c>
      <c r="D196" t="s">
        <v>38</v>
      </c>
      <c r="E196" t="s">
        <v>39</v>
      </c>
      <c r="F196" t="s">
        <v>40</v>
      </c>
      <c r="G196">
        <v>5</v>
      </c>
      <c r="H196">
        <v>154973.73000000001</v>
      </c>
      <c r="I196">
        <v>0.05</v>
      </c>
      <c r="J196">
        <v>774868.65</v>
      </c>
      <c r="K196">
        <v>38743.43</v>
      </c>
      <c r="L196">
        <v>7.4999999999999997E-2</v>
      </c>
      <c r="M196">
        <v>55209.39</v>
      </c>
      <c r="N196">
        <v>791334.61</v>
      </c>
      <c r="O196" t="s">
        <v>35</v>
      </c>
    </row>
    <row r="197" spans="1:15" x14ac:dyDescent="0.35">
      <c r="A197" t="s">
        <v>247</v>
      </c>
      <c r="B197" s="2">
        <v>46066</v>
      </c>
      <c r="C197" t="s">
        <v>42</v>
      </c>
      <c r="D197" t="s">
        <v>43</v>
      </c>
      <c r="E197" t="s">
        <v>44</v>
      </c>
      <c r="F197" t="s">
        <v>45</v>
      </c>
      <c r="G197">
        <v>1</v>
      </c>
      <c r="H197">
        <v>83968.18</v>
      </c>
      <c r="I197">
        <v>0</v>
      </c>
      <c r="J197">
        <v>83968.18</v>
      </c>
      <c r="K197">
        <v>0</v>
      </c>
      <c r="L197">
        <v>0.1</v>
      </c>
      <c r="M197">
        <v>8396.82</v>
      </c>
      <c r="N197">
        <v>92365</v>
      </c>
      <c r="O197" t="s">
        <v>20</v>
      </c>
    </row>
    <row r="198" spans="1:15" x14ac:dyDescent="0.35">
      <c r="A198" t="s">
        <v>248</v>
      </c>
      <c r="B198" s="2">
        <v>46175</v>
      </c>
      <c r="C198" t="s">
        <v>47</v>
      </c>
      <c r="D198" t="s">
        <v>48</v>
      </c>
      <c r="E198" t="s">
        <v>49</v>
      </c>
      <c r="F198" t="s">
        <v>50</v>
      </c>
      <c r="G198">
        <v>3</v>
      </c>
      <c r="H198">
        <v>119056.12</v>
      </c>
      <c r="I198">
        <v>0.05</v>
      </c>
      <c r="J198">
        <v>357168.36</v>
      </c>
      <c r="K198">
        <v>17858.419999999998</v>
      </c>
      <c r="L198">
        <v>7.4999999999999997E-2</v>
      </c>
      <c r="M198">
        <v>25448.25</v>
      </c>
      <c r="N198">
        <v>364758.19</v>
      </c>
      <c r="O198" t="s">
        <v>35</v>
      </c>
    </row>
    <row r="199" spans="1:15" x14ac:dyDescent="0.35">
      <c r="A199" t="s">
        <v>249</v>
      </c>
      <c r="B199" s="2">
        <v>46089</v>
      </c>
      <c r="C199" t="s">
        <v>52</v>
      </c>
      <c r="D199" t="s">
        <v>53</v>
      </c>
      <c r="E199" t="s">
        <v>54</v>
      </c>
      <c r="F199" t="s">
        <v>50</v>
      </c>
      <c r="G199">
        <v>4</v>
      </c>
      <c r="H199">
        <v>93994.6</v>
      </c>
      <c r="I199">
        <v>0</v>
      </c>
      <c r="J199">
        <v>375978.4</v>
      </c>
      <c r="K199">
        <v>0</v>
      </c>
      <c r="L199">
        <v>7.4999999999999997E-2</v>
      </c>
      <c r="M199">
        <v>28198.38</v>
      </c>
      <c r="N199">
        <v>404176.78</v>
      </c>
      <c r="O199" t="s">
        <v>35</v>
      </c>
    </row>
    <row r="200" spans="1:15" x14ac:dyDescent="0.35">
      <c r="A200" t="s">
        <v>250</v>
      </c>
      <c r="B200" s="2">
        <v>46227</v>
      </c>
      <c r="C200" t="s">
        <v>56</v>
      </c>
      <c r="D200" t="s">
        <v>57</v>
      </c>
      <c r="E200" t="s">
        <v>58</v>
      </c>
      <c r="F200" t="s">
        <v>19</v>
      </c>
      <c r="G200">
        <v>3</v>
      </c>
      <c r="H200">
        <v>25365.1</v>
      </c>
      <c r="I200">
        <v>0</v>
      </c>
      <c r="J200">
        <v>76095.3</v>
      </c>
      <c r="K200">
        <v>0</v>
      </c>
      <c r="L200">
        <v>7.4999999999999997E-2</v>
      </c>
      <c r="M200">
        <v>5707.15</v>
      </c>
      <c r="N200">
        <v>81802.45</v>
      </c>
      <c r="O200" t="s">
        <v>20</v>
      </c>
    </row>
    <row r="201" spans="1:15" x14ac:dyDescent="0.35">
      <c r="A201" t="s">
        <v>251</v>
      </c>
      <c r="B201" s="2">
        <v>46195</v>
      </c>
      <c r="C201" t="s">
        <v>60</v>
      </c>
      <c r="D201" t="s">
        <v>61</v>
      </c>
      <c r="E201" t="s">
        <v>62</v>
      </c>
      <c r="F201" t="s">
        <v>19</v>
      </c>
      <c r="G201">
        <v>2</v>
      </c>
      <c r="H201">
        <v>230660.44</v>
      </c>
      <c r="I201">
        <v>0</v>
      </c>
      <c r="J201">
        <v>461320.88</v>
      </c>
      <c r="K201">
        <v>0</v>
      </c>
      <c r="L201">
        <v>0.1</v>
      </c>
      <c r="M201">
        <v>46132.09</v>
      </c>
      <c r="N201">
        <v>507452.97</v>
      </c>
      <c r="O201" t="s">
        <v>35</v>
      </c>
    </row>
    <row r="202" spans="1:15" x14ac:dyDescent="0.35">
      <c r="A202" t="s">
        <v>252</v>
      </c>
      <c r="B202" s="2">
        <v>46156</v>
      </c>
      <c r="C202" t="s">
        <v>16</v>
      </c>
      <c r="D202" t="s">
        <v>17</v>
      </c>
      <c r="E202" t="s">
        <v>18</v>
      </c>
      <c r="F202" t="s">
        <v>19</v>
      </c>
      <c r="G202">
        <v>4</v>
      </c>
      <c r="H202">
        <v>653889.14</v>
      </c>
      <c r="I202">
        <v>0.1</v>
      </c>
      <c r="J202">
        <v>2615556.56</v>
      </c>
      <c r="K202">
        <v>261555.66</v>
      </c>
      <c r="L202">
        <v>0.1</v>
      </c>
      <c r="M202">
        <v>235400.09</v>
      </c>
      <c r="N202">
        <v>2589400.9900000002</v>
      </c>
      <c r="O202" t="s">
        <v>35</v>
      </c>
    </row>
    <row r="203" spans="1:15" x14ac:dyDescent="0.35">
      <c r="A203" t="s">
        <v>253</v>
      </c>
      <c r="B203" s="2">
        <v>46197</v>
      </c>
      <c r="C203" t="s">
        <v>22</v>
      </c>
      <c r="D203" t="s">
        <v>23</v>
      </c>
      <c r="E203" t="s">
        <v>24</v>
      </c>
      <c r="F203" t="s">
        <v>19</v>
      </c>
      <c r="G203">
        <v>3</v>
      </c>
      <c r="H203">
        <v>18684</v>
      </c>
      <c r="I203">
        <v>0</v>
      </c>
      <c r="J203">
        <v>56052</v>
      </c>
      <c r="K203">
        <v>0</v>
      </c>
      <c r="L203">
        <v>0.1</v>
      </c>
      <c r="M203">
        <v>5605.2</v>
      </c>
      <c r="N203">
        <v>61657.2</v>
      </c>
      <c r="O203" t="s">
        <v>35</v>
      </c>
    </row>
    <row r="204" spans="1:15" x14ac:dyDescent="0.35">
      <c r="A204" t="s">
        <v>254</v>
      </c>
      <c r="B204" s="2">
        <v>46225</v>
      </c>
      <c r="C204" t="s">
        <v>27</v>
      </c>
      <c r="D204" t="s">
        <v>28</v>
      </c>
      <c r="E204" t="s">
        <v>29</v>
      </c>
      <c r="F204" t="s">
        <v>30</v>
      </c>
      <c r="G204">
        <v>3</v>
      </c>
      <c r="H204">
        <v>89541.03</v>
      </c>
      <c r="I204">
        <v>0.15</v>
      </c>
      <c r="J204">
        <v>268623.09000000003</v>
      </c>
      <c r="K204">
        <v>40293.46</v>
      </c>
      <c r="L204">
        <v>7.4999999999999997E-2</v>
      </c>
      <c r="M204">
        <v>17124.72</v>
      </c>
      <c r="N204">
        <v>245454.35</v>
      </c>
      <c r="O204" t="s">
        <v>35</v>
      </c>
    </row>
    <row r="205" spans="1:15" x14ac:dyDescent="0.35">
      <c r="A205" t="s">
        <v>255</v>
      </c>
      <c r="B205" s="2">
        <v>46089</v>
      </c>
      <c r="C205" t="s">
        <v>32</v>
      </c>
      <c r="D205" t="s">
        <v>33</v>
      </c>
      <c r="E205" t="s">
        <v>34</v>
      </c>
      <c r="F205" t="s">
        <v>30</v>
      </c>
      <c r="G205">
        <v>5</v>
      </c>
      <c r="H205">
        <v>12796.5</v>
      </c>
      <c r="I205">
        <v>0</v>
      </c>
      <c r="J205">
        <v>63982.5</v>
      </c>
      <c r="K205">
        <v>0</v>
      </c>
      <c r="L205">
        <v>7.4999999999999997E-2</v>
      </c>
      <c r="M205">
        <v>4798.6899999999996</v>
      </c>
      <c r="N205">
        <v>68781.19</v>
      </c>
      <c r="O205" t="s">
        <v>35</v>
      </c>
    </row>
    <row r="206" spans="1:15" x14ac:dyDescent="0.35">
      <c r="A206" t="s">
        <v>256</v>
      </c>
      <c r="B206" s="2">
        <v>46225</v>
      </c>
      <c r="C206" t="s">
        <v>37</v>
      </c>
      <c r="D206" t="s">
        <v>38</v>
      </c>
      <c r="E206" t="s">
        <v>39</v>
      </c>
      <c r="F206" t="s">
        <v>40</v>
      </c>
      <c r="G206">
        <v>2</v>
      </c>
      <c r="H206">
        <v>138314.26999999999</v>
      </c>
      <c r="I206">
        <v>0</v>
      </c>
      <c r="J206">
        <v>276628.53999999998</v>
      </c>
      <c r="K206">
        <v>0</v>
      </c>
      <c r="L206">
        <v>7.4999999999999997E-2</v>
      </c>
      <c r="M206">
        <v>20747.14</v>
      </c>
      <c r="N206">
        <v>297375.68</v>
      </c>
      <c r="O206" t="s">
        <v>25</v>
      </c>
    </row>
    <row r="207" spans="1:15" x14ac:dyDescent="0.35">
      <c r="A207" t="s">
        <v>257</v>
      </c>
      <c r="B207" s="2">
        <v>46246</v>
      </c>
      <c r="C207" t="s">
        <v>42</v>
      </c>
      <c r="D207" t="s">
        <v>43</v>
      </c>
      <c r="E207" t="s">
        <v>44</v>
      </c>
      <c r="F207" t="s">
        <v>45</v>
      </c>
      <c r="G207">
        <v>1</v>
      </c>
      <c r="H207">
        <v>80221.81</v>
      </c>
      <c r="I207">
        <v>0.05</v>
      </c>
      <c r="J207">
        <v>80221.81</v>
      </c>
      <c r="K207">
        <v>4011.09</v>
      </c>
      <c r="L207">
        <v>0.1</v>
      </c>
      <c r="M207">
        <v>7621.07</v>
      </c>
      <c r="N207">
        <v>83831.789999999994</v>
      </c>
      <c r="O207" t="s">
        <v>35</v>
      </c>
    </row>
    <row r="208" spans="1:15" x14ac:dyDescent="0.35">
      <c r="A208" t="s">
        <v>258</v>
      </c>
      <c r="B208" s="2">
        <v>46248</v>
      </c>
      <c r="C208" t="s">
        <v>47</v>
      </c>
      <c r="D208" t="s">
        <v>48</v>
      </c>
      <c r="E208" t="s">
        <v>49</v>
      </c>
      <c r="F208" t="s">
        <v>50</v>
      </c>
      <c r="G208">
        <v>1</v>
      </c>
      <c r="H208">
        <v>116152.24</v>
      </c>
      <c r="I208">
        <v>0.15</v>
      </c>
      <c r="J208">
        <v>116152.24</v>
      </c>
      <c r="K208">
        <v>17422.84</v>
      </c>
      <c r="L208">
        <v>7.4999999999999997E-2</v>
      </c>
      <c r="M208">
        <v>7404.7</v>
      </c>
      <c r="N208">
        <v>106134.1</v>
      </c>
      <c r="O208" t="s">
        <v>20</v>
      </c>
    </row>
    <row r="209" spans="1:15" x14ac:dyDescent="0.35">
      <c r="A209" t="s">
        <v>259</v>
      </c>
      <c r="B209" s="2">
        <v>46184</v>
      </c>
      <c r="C209" t="s">
        <v>52</v>
      </c>
      <c r="D209" t="s">
        <v>53</v>
      </c>
      <c r="E209" t="s">
        <v>54</v>
      </c>
      <c r="F209" t="s">
        <v>50</v>
      </c>
      <c r="G209">
        <v>3</v>
      </c>
      <c r="H209">
        <v>104796.51</v>
      </c>
      <c r="I209">
        <v>0.05</v>
      </c>
      <c r="J209">
        <v>314389.53000000003</v>
      </c>
      <c r="K209">
        <v>15719.48</v>
      </c>
      <c r="L209">
        <v>0.1</v>
      </c>
      <c r="M209">
        <v>29867.01</v>
      </c>
      <c r="N209">
        <v>328537.06</v>
      </c>
      <c r="O209" t="s">
        <v>35</v>
      </c>
    </row>
    <row r="210" spans="1:15" x14ac:dyDescent="0.35">
      <c r="A210" t="s">
        <v>260</v>
      </c>
      <c r="B210" s="2">
        <v>46045</v>
      </c>
      <c r="C210" t="s">
        <v>56</v>
      </c>
      <c r="D210" t="s">
        <v>57</v>
      </c>
      <c r="E210" t="s">
        <v>58</v>
      </c>
      <c r="F210" t="s">
        <v>19</v>
      </c>
      <c r="G210">
        <v>5</v>
      </c>
      <c r="H210">
        <v>24510.9</v>
      </c>
      <c r="I210">
        <v>0.15</v>
      </c>
      <c r="J210">
        <v>122554.5</v>
      </c>
      <c r="K210">
        <v>18383.18</v>
      </c>
      <c r="L210">
        <v>0.1</v>
      </c>
      <c r="M210">
        <v>10417.129999999999</v>
      </c>
      <c r="N210">
        <v>114588.45</v>
      </c>
      <c r="O210" t="s">
        <v>35</v>
      </c>
    </row>
    <row r="211" spans="1:15" x14ac:dyDescent="0.35">
      <c r="A211" t="s">
        <v>261</v>
      </c>
      <c r="B211" t="s">
        <v>262</v>
      </c>
      <c r="C211" t="s">
        <v>60</v>
      </c>
      <c r="D211" t="s">
        <v>61</v>
      </c>
      <c r="E211" t="s">
        <v>62</v>
      </c>
      <c r="F211" t="s">
        <v>19</v>
      </c>
      <c r="G211">
        <v>6</v>
      </c>
      <c r="H211">
        <v>227534.88</v>
      </c>
      <c r="I211">
        <v>0.05</v>
      </c>
      <c r="J211">
        <v>1365209.28</v>
      </c>
      <c r="K211">
        <v>68260.460000000006</v>
      </c>
      <c r="L211">
        <v>0.1</v>
      </c>
      <c r="M211">
        <v>129694.88</v>
      </c>
      <c r="N211">
        <v>1426643.7</v>
      </c>
      <c r="O211" t="s">
        <v>35</v>
      </c>
    </row>
    <row r="212" spans="1:15" x14ac:dyDescent="0.35">
      <c r="A212" t="s">
        <v>263</v>
      </c>
      <c r="B212" s="2">
        <v>46155</v>
      </c>
      <c r="C212" t="s">
        <v>16</v>
      </c>
      <c r="D212" t="s">
        <v>17</v>
      </c>
      <c r="E212" t="s">
        <v>18</v>
      </c>
      <c r="F212" t="s">
        <v>19</v>
      </c>
      <c r="G212">
        <v>6</v>
      </c>
      <c r="H212">
        <v>656202.59</v>
      </c>
      <c r="I212">
        <v>0.1</v>
      </c>
      <c r="J212">
        <v>3937215.54</v>
      </c>
      <c r="K212">
        <v>393721.55</v>
      </c>
      <c r="L212">
        <v>0.1</v>
      </c>
      <c r="M212">
        <v>354349.4</v>
      </c>
      <c r="N212">
        <v>3897843.39</v>
      </c>
      <c r="O212" t="s">
        <v>35</v>
      </c>
    </row>
    <row r="213" spans="1:15" x14ac:dyDescent="0.35">
      <c r="A213" t="s">
        <v>264</v>
      </c>
      <c r="B213" s="2">
        <v>46228</v>
      </c>
      <c r="C213" t="s">
        <v>22</v>
      </c>
      <c r="D213" t="s">
        <v>23</v>
      </c>
      <c r="E213" t="s">
        <v>24</v>
      </c>
      <c r="F213" t="s">
        <v>19</v>
      </c>
      <c r="G213">
        <v>7</v>
      </c>
      <c r="H213">
        <v>19284.810000000001</v>
      </c>
      <c r="I213">
        <v>0.15</v>
      </c>
      <c r="J213">
        <v>134993.67000000001</v>
      </c>
      <c r="K213">
        <v>20249.05</v>
      </c>
      <c r="L213">
        <v>0.1</v>
      </c>
      <c r="M213">
        <v>11474.46</v>
      </c>
      <c r="N213">
        <v>126219.08</v>
      </c>
      <c r="O213" t="s">
        <v>25</v>
      </c>
    </row>
    <row r="214" spans="1:15" x14ac:dyDescent="0.35">
      <c r="A214" t="s">
        <v>265</v>
      </c>
      <c r="B214" s="2">
        <v>46246</v>
      </c>
      <c r="C214" t="s">
        <v>27</v>
      </c>
      <c r="D214" t="s">
        <v>28</v>
      </c>
      <c r="E214" t="s">
        <v>29</v>
      </c>
      <c r="F214" t="s">
        <v>30</v>
      </c>
      <c r="G214">
        <v>2</v>
      </c>
      <c r="H214">
        <v>93612.76</v>
      </c>
      <c r="I214">
        <v>0.1</v>
      </c>
      <c r="J214">
        <v>187225.52</v>
      </c>
      <c r="K214">
        <v>18722.55</v>
      </c>
      <c r="L214">
        <v>7.4999999999999997E-2</v>
      </c>
      <c r="M214">
        <v>12637.72</v>
      </c>
      <c r="N214">
        <v>181140.69</v>
      </c>
      <c r="O214" t="s">
        <v>20</v>
      </c>
    </row>
    <row r="215" spans="1:15" x14ac:dyDescent="0.35">
      <c r="A215" t="s">
        <v>266</v>
      </c>
      <c r="B215" s="2">
        <v>46093</v>
      </c>
      <c r="C215" t="s">
        <v>32</v>
      </c>
      <c r="D215" t="s">
        <v>33</v>
      </c>
      <c r="E215" t="s">
        <v>34</v>
      </c>
      <c r="F215" t="s">
        <v>30</v>
      </c>
      <c r="G215">
        <v>7</v>
      </c>
      <c r="H215">
        <v>12305.13</v>
      </c>
      <c r="I215">
        <v>0</v>
      </c>
      <c r="J215">
        <v>86135.91</v>
      </c>
      <c r="K215">
        <v>0</v>
      </c>
      <c r="L215">
        <v>7.4999999999999997E-2</v>
      </c>
      <c r="M215">
        <v>6460.19</v>
      </c>
      <c r="N215">
        <v>92596.1</v>
      </c>
      <c r="O215" t="s">
        <v>35</v>
      </c>
    </row>
    <row r="216" spans="1:15" x14ac:dyDescent="0.35">
      <c r="A216" t="s">
        <v>267</v>
      </c>
      <c r="B216" s="2">
        <v>46265</v>
      </c>
      <c r="C216" t="s">
        <v>37</v>
      </c>
      <c r="D216" t="s">
        <v>38</v>
      </c>
      <c r="E216" t="s">
        <v>39</v>
      </c>
      <c r="F216" t="s">
        <v>40</v>
      </c>
      <c r="G216">
        <v>3</v>
      </c>
      <c r="H216">
        <v>150132.19</v>
      </c>
      <c r="I216">
        <v>0.15</v>
      </c>
      <c r="J216">
        <v>450396.57</v>
      </c>
      <c r="K216">
        <v>67559.490000000005</v>
      </c>
      <c r="L216">
        <v>0.1</v>
      </c>
      <c r="M216">
        <v>38283.71</v>
      </c>
      <c r="N216">
        <v>421120.79</v>
      </c>
      <c r="O216" t="s">
        <v>20</v>
      </c>
    </row>
    <row r="217" spans="1:15" x14ac:dyDescent="0.35">
      <c r="A217" t="s">
        <v>268</v>
      </c>
      <c r="B217" s="2">
        <v>46188</v>
      </c>
      <c r="C217" t="s">
        <v>42</v>
      </c>
      <c r="D217" t="s">
        <v>43</v>
      </c>
      <c r="E217" t="s">
        <v>44</v>
      </c>
      <c r="F217" t="s">
        <v>45</v>
      </c>
      <c r="G217">
        <v>3</v>
      </c>
      <c r="H217">
        <v>87077.35</v>
      </c>
      <c r="I217">
        <v>0.1</v>
      </c>
      <c r="J217">
        <v>261232.05</v>
      </c>
      <c r="K217">
        <v>26123.200000000001</v>
      </c>
      <c r="L217">
        <v>0.1</v>
      </c>
      <c r="M217">
        <v>23510.880000000001</v>
      </c>
      <c r="N217">
        <v>258619.73</v>
      </c>
      <c r="O217" t="s">
        <v>20</v>
      </c>
    </row>
    <row r="218" spans="1:15" x14ac:dyDescent="0.35">
      <c r="A218" t="s">
        <v>269</v>
      </c>
      <c r="B218" s="2">
        <v>46170</v>
      </c>
      <c r="C218" t="s">
        <v>47</v>
      </c>
      <c r="D218" t="s">
        <v>48</v>
      </c>
      <c r="E218" t="s">
        <v>49</v>
      </c>
      <c r="F218" t="s">
        <v>50</v>
      </c>
      <c r="G218">
        <v>6</v>
      </c>
      <c r="H218">
        <v>121981.39</v>
      </c>
      <c r="I218">
        <v>0.05</v>
      </c>
      <c r="J218">
        <v>731888.34</v>
      </c>
      <c r="K218">
        <v>36594.42</v>
      </c>
      <c r="L218">
        <v>7.4999999999999997E-2</v>
      </c>
      <c r="M218">
        <v>52147.040000000001</v>
      </c>
      <c r="N218">
        <v>747440.96</v>
      </c>
      <c r="O218" t="s">
        <v>35</v>
      </c>
    </row>
    <row r="219" spans="1:15" x14ac:dyDescent="0.35">
      <c r="A219" t="s">
        <v>270</v>
      </c>
      <c r="B219" s="2">
        <v>46081</v>
      </c>
      <c r="C219" t="s">
        <v>52</v>
      </c>
      <c r="D219" t="s">
        <v>53</v>
      </c>
      <c r="E219" t="s">
        <v>54</v>
      </c>
      <c r="F219" t="s">
        <v>50</v>
      </c>
      <c r="G219">
        <v>5</v>
      </c>
      <c r="H219">
        <v>94257.31</v>
      </c>
      <c r="I219">
        <v>0.05</v>
      </c>
      <c r="J219">
        <v>471286.55</v>
      </c>
      <c r="K219">
        <v>23564.33</v>
      </c>
      <c r="L219">
        <v>7.4999999999999997E-2</v>
      </c>
      <c r="M219">
        <v>33579.17</v>
      </c>
      <c r="N219">
        <v>481301.39</v>
      </c>
      <c r="O219" t="s">
        <v>25</v>
      </c>
    </row>
    <row r="220" spans="1:15" x14ac:dyDescent="0.35">
      <c r="A220" t="s">
        <v>271</v>
      </c>
      <c r="B220" s="2">
        <v>46111</v>
      </c>
      <c r="C220" t="s">
        <v>56</v>
      </c>
      <c r="D220" t="s">
        <v>57</v>
      </c>
      <c r="E220" t="s">
        <v>58</v>
      </c>
      <c r="F220" t="s">
        <v>19</v>
      </c>
      <c r="G220">
        <v>7</v>
      </c>
      <c r="H220">
        <v>25532.959999999999</v>
      </c>
      <c r="I220">
        <v>0</v>
      </c>
      <c r="J220">
        <v>178730.72</v>
      </c>
      <c r="K220">
        <v>0</v>
      </c>
      <c r="L220">
        <v>7.4999999999999997E-2</v>
      </c>
      <c r="M220">
        <v>13404.8</v>
      </c>
      <c r="N220">
        <v>192135.52</v>
      </c>
      <c r="O220" t="s">
        <v>35</v>
      </c>
    </row>
    <row r="221" spans="1:15" x14ac:dyDescent="0.35">
      <c r="A221" t="s">
        <v>272</v>
      </c>
      <c r="B221" s="2">
        <v>46108</v>
      </c>
      <c r="C221" t="s">
        <v>60</v>
      </c>
      <c r="D221" t="s">
        <v>61</v>
      </c>
      <c r="E221" t="s">
        <v>62</v>
      </c>
      <c r="F221" t="s">
        <v>19</v>
      </c>
      <c r="G221">
        <v>5</v>
      </c>
      <c r="H221">
        <v>233250.83</v>
      </c>
      <c r="I221">
        <v>0</v>
      </c>
      <c r="J221">
        <v>1166254.1499999999</v>
      </c>
      <c r="K221">
        <v>0</v>
      </c>
      <c r="L221">
        <v>0.1</v>
      </c>
      <c r="M221">
        <v>116625.42</v>
      </c>
      <c r="N221">
        <v>1282879.57</v>
      </c>
      <c r="O221" t="s">
        <v>25</v>
      </c>
    </row>
    <row r="222" spans="1:15" x14ac:dyDescent="0.35">
      <c r="A222" t="s">
        <v>273</v>
      </c>
      <c r="B222" s="2">
        <v>46156</v>
      </c>
      <c r="C222" t="s">
        <v>16</v>
      </c>
      <c r="D222" t="s">
        <v>17</v>
      </c>
      <c r="E222" t="s">
        <v>18</v>
      </c>
      <c r="F222" t="s">
        <v>19</v>
      </c>
      <c r="G222">
        <v>7</v>
      </c>
      <c r="H222">
        <v>662975.17000000004</v>
      </c>
      <c r="I222">
        <v>0.1</v>
      </c>
      <c r="J222">
        <v>4640826.1900000004</v>
      </c>
      <c r="K222">
        <v>464082.62</v>
      </c>
      <c r="L222">
        <v>0.1</v>
      </c>
      <c r="M222">
        <v>417674.36</v>
      </c>
      <c r="N222">
        <v>4594417.93</v>
      </c>
      <c r="O222" t="s">
        <v>35</v>
      </c>
    </row>
    <row r="223" spans="1:15" x14ac:dyDescent="0.35">
      <c r="A223" t="s">
        <v>274</v>
      </c>
      <c r="B223" s="2">
        <v>46192</v>
      </c>
      <c r="C223" t="s">
        <v>22</v>
      </c>
      <c r="D223" t="s">
        <v>23</v>
      </c>
      <c r="E223" t="s">
        <v>24</v>
      </c>
      <c r="F223" t="s">
        <v>19</v>
      </c>
      <c r="G223">
        <v>7</v>
      </c>
      <c r="H223">
        <v>17332.02</v>
      </c>
      <c r="I223">
        <v>0</v>
      </c>
      <c r="J223">
        <v>121324.14</v>
      </c>
      <c r="K223">
        <v>0</v>
      </c>
      <c r="L223">
        <v>7.4999999999999997E-2</v>
      </c>
      <c r="M223">
        <v>9099.31</v>
      </c>
      <c r="N223">
        <v>130423.45</v>
      </c>
      <c r="O223" t="s">
        <v>20</v>
      </c>
    </row>
    <row r="224" spans="1:15" x14ac:dyDescent="0.35">
      <c r="A224" t="s">
        <v>275</v>
      </c>
      <c r="B224" s="2">
        <v>46112</v>
      </c>
      <c r="C224" t="s">
        <v>27</v>
      </c>
      <c r="D224" t="s">
        <v>28</v>
      </c>
      <c r="E224" t="s">
        <v>29</v>
      </c>
      <c r="F224" t="s">
        <v>30</v>
      </c>
      <c r="G224">
        <v>1</v>
      </c>
      <c r="H224">
        <v>94029.119999999995</v>
      </c>
      <c r="I224">
        <v>0.15</v>
      </c>
      <c r="J224">
        <v>94029.119999999995</v>
      </c>
      <c r="K224">
        <v>14104.37</v>
      </c>
      <c r="L224">
        <v>7.4999999999999997E-2</v>
      </c>
      <c r="M224">
        <v>5994.36</v>
      </c>
      <c r="N224">
        <v>85919.11</v>
      </c>
      <c r="O224" t="s">
        <v>20</v>
      </c>
    </row>
    <row r="225" spans="1:15" x14ac:dyDescent="0.35">
      <c r="A225" t="s">
        <v>276</v>
      </c>
      <c r="B225" s="2">
        <v>46264</v>
      </c>
      <c r="C225" t="s">
        <v>32</v>
      </c>
      <c r="D225" t="s">
        <v>33</v>
      </c>
      <c r="E225" t="s">
        <v>34</v>
      </c>
      <c r="F225" t="s">
        <v>30</v>
      </c>
      <c r="G225">
        <v>1</v>
      </c>
      <c r="H225">
        <v>12707.46</v>
      </c>
      <c r="I225">
        <v>0.15</v>
      </c>
      <c r="J225">
        <v>12707.46</v>
      </c>
      <c r="K225">
        <v>1906.12</v>
      </c>
      <c r="L225">
        <v>7.4999999999999997E-2</v>
      </c>
      <c r="M225">
        <v>810.1</v>
      </c>
      <c r="N225">
        <v>11611.44</v>
      </c>
      <c r="O225" t="s">
        <v>35</v>
      </c>
    </row>
    <row r="226" spans="1:15" x14ac:dyDescent="0.35">
      <c r="A226" t="s">
        <v>277</v>
      </c>
      <c r="B226" s="2">
        <v>46035</v>
      </c>
      <c r="C226" t="s">
        <v>37</v>
      </c>
      <c r="D226" t="s">
        <v>38</v>
      </c>
      <c r="E226" t="s">
        <v>39</v>
      </c>
      <c r="F226" t="s">
        <v>40</v>
      </c>
      <c r="G226">
        <v>1</v>
      </c>
      <c r="H226">
        <v>149634.68</v>
      </c>
      <c r="I226">
        <v>0</v>
      </c>
      <c r="J226">
        <v>149634.68</v>
      </c>
      <c r="K226">
        <v>0</v>
      </c>
      <c r="L226">
        <v>0.1</v>
      </c>
      <c r="M226">
        <v>14963.47</v>
      </c>
      <c r="N226">
        <v>164598.15</v>
      </c>
      <c r="O226" t="s">
        <v>35</v>
      </c>
    </row>
    <row r="227" spans="1:15" x14ac:dyDescent="0.35">
      <c r="A227" t="s">
        <v>278</v>
      </c>
      <c r="B227" s="2">
        <v>46048</v>
      </c>
      <c r="C227" t="s">
        <v>42</v>
      </c>
      <c r="D227" t="s">
        <v>43</v>
      </c>
      <c r="E227" t="s">
        <v>44</v>
      </c>
      <c r="F227" t="s">
        <v>45</v>
      </c>
      <c r="G227">
        <v>5</v>
      </c>
      <c r="H227">
        <v>83674.679999999993</v>
      </c>
      <c r="I227">
        <v>0</v>
      </c>
      <c r="J227">
        <v>418373.4</v>
      </c>
      <c r="K227">
        <v>0</v>
      </c>
      <c r="L227">
        <v>0.1</v>
      </c>
      <c r="M227">
        <v>41837.339999999997</v>
      </c>
      <c r="N227">
        <v>460210.74</v>
      </c>
      <c r="O227" t="s">
        <v>20</v>
      </c>
    </row>
    <row r="228" spans="1:15" x14ac:dyDescent="0.35">
      <c r="A228" t="s">
        <v>279</v>
      </c>
      <c r="B228" s="2">
        <v>46124</v>
      </c>
      <c r="C228" t="s">
        <v>47</v>
      </c>
      <c r="D228" t="s">
        <v>48</v>
      </c>
      <c r="E228" t="s">
        <v>49</v>
      </c>
      <c r="F228" t="s">
        <v>50</v>
      </c>
      <c r="G228">
        <v>4</v>
      </c>
      <c r="H228">
        <v>112939.7</v>
      </c>
      <c r="I228">
        <v>0</v>
      </c>
      <c r="J228">
        <v>451758.8</v>
      </c>
      <c r="K228">
        <v>0</v>
      </c>
      <c r="L228">
        <v>7.4999999999999997E-2</v>
      </c>
      <c r="M228">
        <v>33881.910000000003</v>
      </c>
      <c r="N228">
        <v>485640.71</v>
      </c>
      <c r="O228" t="s">
        <v>35</v>
      </c>
    </row>
    <row r="229" spans="1:15" x14ac:dyDescent="0.35">
      <c r="A229" t="s">
        <v>280</v>
      </c>
      <c r="B229" s="2">
        <v>46068</v>
      </c>
      <c r="C229" t="s">
        <v>52</v>
      </c>
      <c r="D229" t="s">
        <v>53</v>
      </c>
      <c r="E229" t="s">
        <v>54</v>
      </c>
      <c r="F229" t="s">
        <v>50</v>
      </c>
      <c r="G229">
        <v>3</v>
      </c>
      <c r="H229">
        <v>105161.34</v>
      </c>
      <c r="I229">
        <v>0.15</v>
      </c>
      <c r="J229">
        <v>315484.02</v>
      </c>
      <c r="K229">
        <v>47322.6</v>
      </c>
      <c r="L229">
        <v>7.4999999999999997E-2</v>
      </c>
      <c r="M229">
        <v>20112.11</v>
      </c>
      <c r="N229">
        <v>288273.53000000003</v>
      </c>
      <c r="O229" t="s">
        <v>20</v>
      </c>
    </row>
    <row r="230" spans="1:15" x14ac:dyDescent="0.35">
      <c r="A230" t="s">
        <v>281</v>
      </c>
      <c r="B230" s="2">
        <v>46256</v>
      </c>
      <c r="C230" t="s">
        <v>56</v>
      </c>
      <c r="D230" t="s">
        <v>57</v>
      </c>
      <c r="E230" t="s">
        <v>58</v>
      </c>
      <c r="F230" t="s">
        <v>19</v>
      </c>
      <c r="G230">
        <v>6</v>
      </c>
      <c r="H230">
        <v>23268.7</v>
      </c>
      <c r="I230">
        <v>0</v>
      </c>
      <c r="J230">
        <v>139612.20000000001</v>
      </c>
      <c r="K230">
        <v>0</v>
      </c>
      <c r="L230">
        <v>7.4999999999999997E-2</v>
      </c>
      <c r="M230">
        <v>10470.92</v>
      </c>
      <c r="N230">
        <v>150083.12</v>
      </c>
      <c r="O230" t="s">
        <v>20</v>
      </c>
    </row>
    <row r="231" spans="1:15" x14ac:dyDescent="0.35">
      <c r="A231" t="s">
        <v>282</v>
      </c>
      <c r="B231" s="2">
        <v>46053</v>
      </c>
      <c r="C231" t="s">
        <v>60</v>
      </c>
      <c r="D231" t="s">
        <v>61</v>
      </c>
      <c r="E231" t="s">
        <v>62</v>
      </c>
      <c r="F231" t="s">
        <v>19</v>
      </c>
      <c r="G231">
        <v>7</v>
      </c>
      <c r="H231">
        <v>206151.57</v>
      </c>
      <c r="I231">
        <v>0.05</v>
      </c>
      <c r="J231">
        <v>1443060.99</v>
      </c>
      <c r="K231">
        <v>72153.05</v>
      </c>
      <c r="L231">
        <v>7.4999999999999997E-2</v>
      </c>
      <c r="M231">
        <v>102818.1</v>
      </c>
      <c r="N231">
        <v>1473726.04</v>
      </c>
      <c r="O231" t="s">
        <v>25</v>
      </c>
    </row>
    <row r="232" spans="1:15" x14ac:dyDescent="0.35">
      <c r="A232" t="s">
        <v>283</v>
      </c>
      <c r="B232" s="2">
        <v>46263</v>
      </c>
      <c r="C232" t="s">
        <v>16</v>
      </c>
      <c r="D232" t="s">
        <v>17</v>
      </c>
      <c r="E232" t="s">
        <v>18</v>
      </c>
      <c r="F232" t="s">
        <v>19</v>
      </c>
      <c r="G232">
        <v>6</v>
      </c>
      <c r="H232">
        <v>674147.2</v>
      </c>
      <c r="I232">
        <v>0.05</v>
      </c>
      <c r="J232">
        <v>4044883.2</v>
      </c>
      <c r="K232">
        <v>202244.16</v>
      </c>
      <c r="L232">
        <v>0.1</v>
      </c>
      <c r="M232">
        <v>384263.9</v>
      </c>
      <c r="N232">
        <v>4226902.9400000004</v>
      </c>
      <c r="O232" t="s">
        <v>20</v>
      </c>
    </row>
    <row r="233" spans="1:15" x14ac:dyDescent="0.35">
      <c r="A233" t="s">
        <v>284</v>
      </c>
      <c r="B233" s="2">
        <v>46239</v>
      </c>
      <c r="C233" t="s">
        <v>22</v>
      </c>
      <c r="D233" t="s">
        <v>23</v>
      </c>
      <c r="E233" t="s">
        <v>24</v>
      </c>
      <c r="F233" t="s">
        <v>19</v>
      </c>
      <c r="G233">
        <v>7</v>
      </c>
      <c r="H233">
        <v>18211.09</v>
      </c>
      <c r="I233">
        <v>0</v>
      </c>
      <c r="J233">
        <v>127477.63</v>
      </c>
      <c r="K233">
        <v>0</v>
      </c>
      <c r="L233">
        <v>0.1</v>
      </c>
      <c r="M233">
        <v>12747.76</v>
      </c>
      <c r="N233">
        <v>140225.39000000001</v>
      </c>
      <c r="O233" t="s">
        <v>35</v>
      </c>
    </row>
    <row r="234" spans="1:15" x14ac:dyDescent="0.35">
      <c r="A234" t="s">
        <v>285</v>
      </c>
      <c r="B234" s="2">
        <v>46080</v>
      </c>
      <c r="C234" t="s">
        <v>27</v>
      </c>
      <c r="D234" t="s">
        <v>28</v>
      </c>
      <c r="E234" t="s">
        <v>29</v>
      </c>
      <c r="F234" t="s">
        <v>30</v>
      </c>
      <c r="G234">
        <v>2</v>
      </c>
      <c r="H234">
        <v>93814.95</v>
      </c>
      <c r="I234">
        <v>0.05</v>
      </c>
      <c r="J234">
        <v>187629.9</v>
      </c>
      <c r="K234">
        <v>9381.5</v>
      </c>
      <c r="L234">
        <v>0.1</v>
      </c>
      <c r="M234">
        <v>17824.84</v>
      </c>
      <c r="N234">
        <v>196073.24</v>
      </c>
      <c r="O234" t="s">
        <v>20</v>
      </c>
    </row>
    <row r="235" spans="1:15" x14ac:dyDescent="0.35">
      <c r="A235" t="s">
        <v>286</v>
      </c>
      <c r="B235" s="2">
        <v>46055</v>
      </c>
      <c r="C235" t="s">
        <v>32</v>
      </c>
      <c r="D235" t="s">
        <v>33</v>
      </c>
      <c r="E235" t="s">
        <v>34</v>
      </c>
      <c r="F235" t="s">
        <v>30</v>
      </c>
      <c r="G235">
        <v>3</v>
      </c>
      <c r="H235">
        <v>11213.45</v>
      </c>
      <c r="I235">
        <v>0.1</v>
      </c>
      <c r="J235">
        <v>33640.35</v>
      </c>
      <c r="K235">
        <v>3364.04</v>
      </c>
      <c r="L235">
        <v>0.1</v>
      </c>
      <c r="M235">
        <v>3027.63</v>
      </c>
      <c r="N235">
        <v>33303.94</v>
      </c>
      <c r="O235" t="s">
        <v>35</v>
      </c>
    </row>
    <row r="236" spans="1:15" x14ac:dyDescent="0.35">
      <c r="A236" t="s">
        <v>287</v>
      </c>
      <c r="B236" s="2">
        <v>46065</v>
      </c>
      <c r="C236" t="s">
        <v>37</v>
      </c>
      <c r="D236" t="s">
        <v>38</v>
      </c>
      <c r="E236" t="s">
        <v>39</v>
      </c>
      <c r="F236" t="s">
        <v>40</v>
      </c>
      <c r="G236">
        <v>3</v>
      </c>
      <c r="H236">
        <v>146536.15</v>
      </c>
      <c r="I236">
        <v>0</v>
      </c>
      <c r="J236">
        <v>439608.45</v>
      </c>
      <c r="K236">
        <v>0</v>
      </c>
      <c r="L236">
        <v>7.4999999999999997E-2</v>
      </c>
      <c r="M236">
        <v>32970.629999999997</v>
      </c>
      <c r="N236">
        <v>472579.08</v>
      </c>
      <c r="O236" t="s">
        <v>20</v>
      </c>
    </row>
    <row r="237" spans="1:15" x14ac:dyDescent="0.35">
      <c r="A237" t="s">
        <v>288</v>
      </c>
      <c r="B237" s="2">
        <v>46176</v>
      </c>
      <c r="C237" t="s">
        <v>42</v>
      </c>
      <c r="D237" t="s">
        <v>43</v>
      </c>
      <c r="E237" t="s">
        <v>44</v>
      </c>
      <c r="F237" t="s">
        <v>45</v>
      </c>
      <c r="G237">
        <v>6</v>
      </c>
      <c r="H237">
        <v>84674.29</v>
      </c>
      <c r="I237">
        <v>0.1</v>
      </c>
      <c r="J237">
        <v>508045.74</v>
      </c>
      <c r="K237">
        <v>50804.57</v>
      </c>
      <c r="L237">
        <v>0.1</v>
      </c>
      <c r="M237">
        <v>45724.12</v>
      </c>
      <c r="N237">
        <v>502965.29</v>
      </c>
      <c r="O237" t="s">
        <v>20</v>
      </c>
    </row>
    <row r="238" spans="1:15" x14ac:dyDescent="0.35">
      <c r="A238" t="s">
        <v>289</v>
      </c>
      <c r="B238" s="2">
        <v>46237</v>
      </c>
      <c r="C238" t="s">
        <v>47</v>
      </c>
      <c r="D238" t="s">
        <v>48</v>
      </c>
      <c r="E238" t="s">
        <v>49</v>
      </c>
      <c r="F238" t="s">
        <v>50</v>
      </c>
      <c r="G238">
        <v>1</v>
      </c>
      <c r="H238">
        <v>115582.3</v>
      </c>
      <c r="I238">
        <v>0.1</v>
      </c>
      <c r="J238">
        <v>115582.3</v>
      </c>
      <c r="K238">
        <v>11558.23</v>
      </c>
      <c r="L238">
        <v>0.1</v>
      </c>
      <c r="M238">
        <v>10402.41</v>
      </c>
      <c r="N238">
        <v>114426.48</v>
      </c>
      <c r="O238" t="s">
        <v>20</v>
      </c>
    </row>
    <row r="239" spans="1:15" x14ac:dyDescent="0.35">
      <c r="A239" t="s">
        <v>290</v>
      </c>
      <c r="B239" s="2">
        <v>46261</v>
      </c>
      <c r="C239" t="s">
        <v>52</v>
      </c>
      <c r="D239" t="s">
        <v>53</v>
      </c>
      <c r="E239" t="s">
        <v>54</v>
      </c>
      <c r="F239" t="s">
        <v>50</v>
      </c>
      <c r="G239">
        <v>3</v>
      </c>
      <c r="H239">
        <v>105542.53</v>
      </c>
      <c r="I239">
        <v>0.1</v>
      </c>
      <c r="J239">
        <v>316627.59000000003</v>
      </c>
      <c r="K239">
        <v>31662.76</v>
      </c>
      <c r="L239">
        <v>7.4999999999999997E-2</v>
      </c>
      <c r="M239">
        <v>21372.36</v>
      </c>
      <c r="N239">
        <v>306337.19</v>
      </c>
      <c r="O239" t="s">
        <v>35</v>
      </c>
    </row>
    <row r="240" spans="1:15" x14ac:dyDescent="0.35">
      <c r="A240" t="s">
        <v>291</v>
      </c>
      <c r="B240" s="2">
        <v>46066</v>
      </c>
      <c r="C240" t="s">
        <v>56</v>
      </c>
      <c r="D240" t="s">
        <v>57</v>
      </c>
      <c r="E240" t="s">
        <v>58</v>
      </c>
      <c r="F240" t="s">
        <v>19</v>
      </c>
      <c r="G240">
        <v>2</v>
      </c>
      <c r="H240">
        <v>24896.95</v>
      </c>
      <c r="I240">
        <v>0</v>
      </c>
      <c r="J240">
        <v>49793.9</v>
      </c>
      <c r="K240">
        <v>0</v>
      </c>
      <c r="L240">
        <v>7.4999999999999997E-2</v>
      </c>
      <c r="M240">
        <v>3734.54</v>
      </c>
      <c r="N240">
        <v>53528.44</v>
      </c>
      <c r="O240" t="s">
        <v>20</v>
      </c>
    </row>
    <row r="241" spans="1:15" x14ac:dyDescent="0.35">
      <c r="A241" t="s">
        <v>292</v>
      </c>
      <c r="B241" s="2">
        <v>46051</v>
      </c>
      <c r="C241" t="s">
        <v>60</v>
      </c>
      <c r="D241" t="s">
        <v>61</v>
      </c>
      <c r="E241" t="s">
        <v>62</v>
      </c>
      <c r="F241" t="s">
        <v>19</v>
      </c>
      <c r="G241">
        <v>1</v>
      </c>
      <c r="H241">
        <v>227213.38</v>
      </c>
      <c r="I241">
        <v>0.15</v>
      </c>
      <c r="J241">
        <v>227213.38</v>
      </c>
      <c r="K241">
        <v>34082.01</v>
      </c>
      <c r="L241">
        <v>0.1</v>
      </c>
      <c r="M241">
        <v>19313.14</v>
      </c>
      <c r="N241">
        <v>212444.51</v>
      </c>
      <c r="O241" t="s">
        <v>35</v>
      </c>
    </row>
    <row r="242" spans="1:15" x14ac:dyDescent="0.35">
      <c r="A242" t="s">
        <v>293</v>
      </c>
      <c r="B242" s="2">
        <v>46205</v>
      </c>
      <c r="C242" t="s">
        <v>16</v>
      </c>
      <c r="D242" t="s">
        <v>17</v>
      </c>
      <c r="E242" t="s">
        <v>18</v>
      </c>
      <c r="F242" t="s">
        <v>19</v>
      </c>
      <c r="G242">
        <v>3</v>
      </c>
      <c r="H242">
        <v>606087.6</v>
      </c>
      <c r="I242">
        <v>0.15</v>
      </c>
      <c r="J242">
        <v>1818262.8</v>
      </c>
      <c r="K242">
        <v>272739.42</v>
      </c>
      <c r="L242">
        <v>0.1</v>
      </c>
      <c r="M242">
        <v>154552.34</v>
      </c>
      <c r="N242">
        <v>1700075.72</v>
      </c>
      <c r="O242" t="s">
        <v>35</v>
      </c>
    </row>
    <row r="243" spans="1:15" x14ac:dyDescent="0.35">
      <c r="A243" t="s">
        <v>294</v>
      </c>
      <c r="B243" s="2">
        <v>46213</v>
      </c>
      <c r="C243" t="s">
        <v>22</v>
      </c>
      <c r="D243" t="s">
        <v>23</v>
      </c>
      <c r="E243" t="s">
        <v>24</v>
      </c>
      <c r="F243" t="s">
        <v>19</v>
      </c>
      <c r="G243">
        <v>2</v>
      </c>
      <c r="H243">
        <v>16856.91</v>
      </c>
      <c r="I243">
        <v>0</v>
      </c>
      <c r="J243">
        <v>33713.82</v>
      </c>
      <c r="K243">
        <v>0</v>
      </c>
      <c r="L243">
        <v>0.1</v>
      </c>
      <c r="M243">
        <v>3371.38</v>
      </c>
      <c r="N243">
        <v>37085.199999999997</v>
      </c>
      <c r="O243" t="s">
        <v>25</v>
      </c>
    </row>
    <row r="244" spans="1:15" x14ac:dyDescent="0.35">
      <c r="A244" t="s">
        <v>295</v>
      </c>
      <c r="B244" s="2">
        <v>46073</v>
      </c>
      <c r="C244" t="s">
        <v>27</v>
      </c>
      <c r="D244" t="s">
        <v>28</v>
      </c>
      <c r="E244" t="s">
        <v>29</v>
      </c>
      <c r="F244" t="s">
        <v>30</v>
      </c>
      <c r="G244">
        <v>5</v>
      </c>
      <c r="H244">
        <v>99408.21</v>
      </c>
      <c r="I244">
        <v>0</v>
      </c>
      <c r="J244">
        <v>497041.05</v>
      </c>
      <c r="K244">
        <v>0</v>
      </c>
      <c r="L244">
        <v>7.4999999999999997E-2</v>
      </c>
      <c r="M244">
        <v>37278.080000000002</v>
      </c>
      <c r="N244">
        <v>534319.13</v>
      </c>
      <c r="O244" t="s">
        <v>35</v>
      </c>
    </row>
    <row r="245" spans="1:15" x14ac:dyDescent="0.35">
      <c r="A245" t="s">
        <v>296</v>
      </c>
      <c r="B245" s="2">
        <v>46241</v>
      </c>
      <c r="C245" t="s">
        <v>32</v>
      </c>
      <c r="D245" t="s">
        <v>33</v>
      </c>
      <c r="E245" t="s">
        <v>34</v>
      </c>
      <c r="F245" t="s">
        <v>30</v>
      </c>
      <c r="G245">
        <v>3</v>
      </c>
      <c r="H245">
        <v>12445.87</v>
      </c>
      <c r="I245">
        <v>0</v>
      </c>
      <c r="J245">
        <v>37337.61</v>
      </c>
      <c r="K245">
        <v>0</v>
      </c>
      <c r="L245">
        <v>7.4999999999999997E-2</v>
      </c>
      <c r="M245">
        <v>2800.32</v>
      </c>
      <c r="N245">
        <v>40137.93</v>
      </c>
      <c r="O245" t="s">
        <v>20</v>
      </c>
    </row>
    <row r="246" spans="1:15" x14ac:dyDescent="0.35">
      <c r="A246" t="s">
        <v>297</v>
      </c>
      <c r="B246" s="2">
        <v>46038</v>
      </c>
      <c r="C246" t="s">
        <v>37</v>
      </c>
      <c r="D246" t="s">
        <v>38</v>
      </c>
      <c r="E246" t="s">
        <v>39</v>
      </c>
      <c r="F246" t="s">
        <v>40</v>
      </c>
      <c r="G246">
        <v>6</v>
      </c>
      <c r="H246">
        <v>161533.84</v>
      </c>
      <c r="I246">
        <v>0.05</v>
      </c>
      <c r="J246">
        <v>969203.04</v>
      </c>
      <c r="K246">
        <v>48460.15</v>
      </c>
      <c r="L246">
        <v>7.4999999999999997E-2</v>
      </c>
      <c r="M246">
        <v>69055.72</v>
      </c>
      <c r="N246">
        <v>989798.61</v>
      </c>
      <c r="O246" t="s">
        <v>35</v>
      </c>
    </row>
    <row r="247" spans="1:15" x14ac:dyDescent="0.35">
      <c r="A247" t="s">
        <v>298</v>
      </c>
      <c r="B247" s="2">
        <v>46058</v>
      </c>
      <c r="C247" t="s">
        <v>42</v>
      </c>
      <c r="D247" t="s">
        <v>43</v>
      </c>
      <c r="E247" t="s">
        <v>44</v>
      </c>
      <c r="F247" t="s">
        <v>45</v>
      </c>
      <c r="G247">
        <v>2</v>
      </c>
      <c r="H247">
        <v>78901.7</v>
      </c>
      <c r="I247">
        <v>0.05</v>
      </c>
      <c r="J247">
        <v>157803.4</v>
      </c>
      <c r="K247">
        <v>7890.17</v>
      </c>
      <c r="L247">
        <v>7.4999999999999997E-2</v>
      </c>
      <c r="M247">
        <v>11243.49</v>
      </c>
      <c r="N247">
        <v>161156.72</v>
      </c>
      <c r="O247" t="s">
        <v>20</v>
      </c>
    </row>
    <row r="248" spans="1:15" x14ac:dyDescent="0.35">
      <c r="A248" t="s">
        <v>299</v>
      </c>
      <c r="B248" s="2">
        <v>46112</v>
      </c>
      <c r="C248" t="s">
        <v>47</v>
      </c>
      <c r="D248" t="s">
        <v>48</v>
      </c>
      <c r="E248" t="s">
        <v>49</v>
      </c>
      <c r="F248" t="s">
        <v>50</v>
      </c>
      <c r="G248">
        <v>7</v>
      </c>
      <c r="H248">
        <v>129587.59</v>
      </c>
      <c r="I248">
        <v>0.05</v>
      </c>
      <c r="J248">
        <v>907113.13</v>
      </c>
      <c r="K248">
        <v>45355.66</v>
      </c>
      <c r="L248">
        <v>7.4999999999999997E-2</v>
      </c>
      <c r="M248">
        <v>64631.81</v>
      </c>
      <c r="N248">
        <v>926389.28</v>
      </c>
      <c r="O248" t="s">
        <v>25</v>
      </c>
    </row>
    <row r="249" spans="1:15" x14ac:dyDescent="0.35">
      <c r="A249" t="s">
        <v>300</v>
      </c>
      <c r="B249" s="2">
        <v>46141</v>
      </c>
      <c r="C249" t="s">
        <v>52</v>
      </c>
      <c r="D249" t="s">
        <v>53</v>
      </c>
      <c r="E249" t="s">
        <v>54</v>
      </c>
      <c r="F249" t="s">
        <v>50</v>
      </c>
      <c r="G249">
        <v>6</v>
      </c>
      <c r="H249">
        <v>93928.36</v>
      </c>
      <c r="I249">
        <v>0.1</v>
      </c>
      <c r="J249">
        <v>563570.16</v>
      </c>
      <c r="K249">
        <v>56357.02</v>
      </c>
      <c r="L249">
        <v>7.4999999999999997E-2</v>
      </c>
      <c r="M249">
        <v>38040.99</v>
      </c>
      <c r="N249">
        <v>545254.13</v>
      </c>
      <c r="O249" t="s">
        <v>25</v>
      </c>
    </row>
    <row r="250" spans="1:15" x14ac:dyDescent="0.35">
      <c r="A250" t="s">
        <v>301</v>
      </c>
      <c r="B250" s="2">
        <v>46249</v>
      </c>
      <c r="C250" t="s">
        <v>56</v>
      </c>
      <c r="D250" t="s">
        <v>57</v>
      </c>
      <c r="E250" t="s">
        <v>58</v>
      </c>
      <c r="F250" t="s">
        <v>19</v>
      </c>
      <c r="G250">
        <v>2</v>
      </c>
      <c r="H250">
        <v>24687.05</v>
      </c>
      <c r="I250">
        <v>0</v>
      </c>
      <c r="J250">
        <v>49374.1</v>
      </c>
      <c r="K250">
        <v>0</v>
      </c>
      <c r="L250">
        <v>0.1</v>
      </c>
      <c r="M250">
        <v>4937.41</v>
      </c>
      <c r="N250">
        <v>54311.51</v>
      </c>
      <c r="O250" t="s">
        <v>25</v>
      </c>
    </row>
    <row r="251" spans="1:15" x14ac:dyDescent="0.35">
      <c r="A251" t="s">
        <v>302</v>
      </c>
      <c r="B251" s="2">
        <v>46129</v>
      </c>
      <c r="C251" t="s">
        <v>60</v>
      </c>
      <c r="D251" t="s">
        <v>61</v>
      </c>
      <c r="E251" t="s">
        <v>62</v>
      </c>
      <c r="F251" t="s">
        <v>19</v>
      </c>
      <c r="G251">
        <v>7</v>
      </c>
      <c r="H251">
        <v>218421.06</v>
      </c>
      <c r="I251">
        <v>0.1</v>
      </c>
      <c r="J251">
        <v>1528947.42</v>
      </c>
      <c r="K251">
        <v>152894.74</v>
      </c>
      <c r="L251">
        <v>0.1</v>
      </c>
      <c r="M251">
        <v>137605.26999999999</v>
      </c>
      <c r="N251">
        <v>1513657.95</v>
      </c>
      <c r="O251" t="s">
        <v>35</v>
      </c>
    </row>
    <row r="252" spans="1:15" x14ac:dyDescent="0.35">
      <c r="A252" t="s">
        <v>303</v>
      </c>
      <c r="B252" s="2">
        <v>46071</v>
      </c>
      <c r="C252" t="s">
        <v>16</v>
      </c>
      <c r="D252" t="s">
        <v>17</v>
      </c>
      <c r="E252" t="s">
        <v>18</v>
      </c>
      <c r="F252" t="s">
        <v>19</v>
      </c>
      <c r="G252">
        <v>7</v>
      </c>
      <c r="H252">
        <v>635928.51</v>
      </c>
      <c r="I252">
        <v>0.15</v>
      </c>
      <c r="J252">
        <v>4451499.57</v>
      </c>
      <c r="K252">
        <v>667724.93999999994</v>
      </c>
      <c r="L252">
        <v>0.1</v>
      </c>
      <c r="M252">
        <v>378377.46</v>
      </c>
      <c r="N252">
        <v>4162152.09</v>
      </c>
      <c r="O252" t="s">
        <v>35</v>
      </c>
    </row>
    <row r="253" spans="1:15" x14ac:dyDescent="0.35">
      <c r="A253" t="s">
        <v>304</v>
      </c>
      <c r="B253" s="2">
        <v>46241</v>
      </c>
      <c r="C253" t="s">
        <v>22</v>
      </c>
      <c r="D253" t="s">
        <v>23</v>
      </c>
      <c r="E253" t="s">
        <v>24</v>
      </c>
      <c r="F253" t="s">
        <v>19</v>
      </c>
      <c r="G253">
        <v>5</v>
      </c>
      <c r="H253">
        <v>18087.16</v>
      </c>
      <c r="I253">
        <v>0.05</v>
      </c>
      <c r="J253">
        <v>90435.8</v>
      </c>
      <c r="K253">
        <v>4521.79</v>
      </c>
      <c r="L253">
        <v>7.4999999999999997E-2</v>
      </c>
      <c r="M253">
        <v>6443.55</v>
      </c>
      <c r="N253">
        <v>92357.56</v>
      </c>
      <c r="O253" t="s">
        <v>35</v>
      </c>
    </row>
    <row r="254" spans="1:15" x14ac:dyDescent="0.35">
      <c r="A254" t="s">
        <v>305</v>
      </c>
      <c r="B254" s="2">
        <v>46240</v>
      </c>
      <c r="C254" t="s">
        <v>27</v>
      </c>
      <c r="D254" t="s">
        <v>28</v>
      </c>
      <c r="E254" t="s">
        <v>29</v>
      </c>
      <c r="F254" t="s">
        <v>30</v>
      </c>
      <c r="G254">
        <v>7</v>
      </c>
      <c r="H254">
        <v>99620.45</v>
      </c>
      <c r="I254">
        <v>0.15</v>
      </c>
      <c r="J254">
        <v>697343.15</v>
      </c>
      <c r="K254">
        <v>104601.47</v>
      </c>
      <c r="L254">
        <v>7.4999999999999997E-2</v>
      </c>
      <c r="M254">
        <v>44455.63</v>
      </c>
      <c r="N254">
        <v>637197.31000000006</v>
      </c>
      <c r="O254" t="s">
        <v>35</v>
      </c>
    </row>
    <row r="255" spans="1:15" x14ac:dyDescent="0.35">
      <c r="A255" t="s">
        <v>306</v>
      </c>
      <c r="B255" s="2">
        <v>46134</v>
      </c>
      <c r="C255" t="s">
        <v>32</v>
      </c>
      <c r="D255" t="s">
        <v>33</v>
      </c>
      <c r="E255" t="s">
        <v>34</v>
      </c>
      <c r="F255" t="s">
        <v>30</v>
      </c>
      <c r="G255">
        <v>2</v>
      </c>
      <c r="H255">
        <v>12038.72</v>
      </c>
      <c r="I255">
        <v>0</v>
      </c>
      <c r="J255">
        <v>24077.439999999999</v>
      </c>
      <c r="K255">
        <v>0</v>
      </c>
      <c r="L255">
        <v>0.1</v>
      </c>
      <c r="M255">
        <v>2407.7399999999998</v>
      </c>
      <c r="N255">
        <v>26485.18</v>
      </c>
      <c r="O255" t="s">
        <v>35</v>
      </c>
    </row>
    <row r="256" spans="1:15" x14ac:dyDescent="0.35">
      <c r="A256" t="s">
        <v>307</v>
      </c>
      <c r="B256" s="2">
        <v>46039</v>
      </c>
      <c r="C256" t="s">
        <v>37</v>
      </c>
      <c r="D256" t="s">
        <v>38</v>
      </c>
      <c r="E256" t="s">
        <v>39</v>
      </c>
      <c r="F256" t="s">
        <v>40</v>
      </c>
      <c r="G256">
        <v>7</v>
      </c>
      <c r="H256">
        <v>149086.63</v>
      </c>
      <c r="I256">
        <v>0.05</v>
      </c>
      <c r="J256">
        <v>1043606.41</v>
      </c>
      <c r="K256">
        <v>52180.32</v>
      </c>
      <c r="L256">
        <v>0.1</v>
      </c>
      <c r="M256">
        <v>99142.61</v>
      </c>
      <c r="N256">
        <v>1090568.7</v>
      </c>
      <c r="O256" t="s">
        <v>308</v>
      </c>
    </row>
    <row r="257" spans="1:15" x14ac:dyDescent="0.35">
      <c r="A257" t="s">
        <v>309</v>
      </c>
      <c r="B257" s="2">
        <v>46055</v>
      </c>
      <c r="C257" t="s">
        <v>42</v>
      </c>
      <c r="D257" t="s">
        <v>43</v>
      </c>
      <c r="E257" t="s">
        <v>44</v>
      </c>
      <c r="F257" t="s">
        <v>45</v>
      </c>
      <c r="G257">
        <v>3</v>
      </c>
      <c r="H257">
        <v>79152.399999999994</v>
      </c>
      <c r="I257">
        <v>0.05</v>
      </c>
      <c r="J257">
        <v>237457.2</v>
      </c>
      <c r="K257">
        <v>11872.86</v>
      </c>
      <c r="L257">
        <v>0.1</v>
      </c>
      <c r="M257">
        <v>22558.43</v>
      </c>
      <c r="N257">
        <v>248142.77</v>
      </c>
      <c r="O257" t="s">
        <v>20</v>
      </c>
    </row>
    <row r="258" spans="1:15" x14ac:dyDescent="0.35">
      <c r="A258" t="s">
        <v>310</v>
      </c>
      <c r="B258" s="2">
        <v>46042</v>
      </c>
      <c r="C258" t="s">
        <v>47</v>
      </c>
      <c r="D258" t="s">
        <v>48</v>
      </c>
      <c r="E258" t="s">
        <v>49</v>
      </c>
      <c r="F258" t="s">
        <v>50</v>
      </c>
      <c r="G258">
        <v>5</v>
      </c>
      <c r="H258">
        <v>111121.86</v>
      </c>
      <c r="I258">
        <v>0.15</v>
      </c>
      <c r="J258">
        <v>555609.30000000005</v>
      </c>
      <c r="K258">
        <v>83341.399999999994</v>
      </c>
      <c r="L258">
        <v>7.4999999999999997E-2</v>
      </c>
      <c r="M258">
        <v>35420.089999999997</v>
      </c>
      <c r="N258">
        <v>507687.99</v>
      </c>
      <c r="O258" t="s">
        <v>25</v>
      </c>
    </row>
    <row r="259" spans="1:15" x14ac:dyDescent="0.35">
      <c r="A259" t="s">
        <v>311</v>
      </c>
      <c r="B259" s="2">
        <v>46129</v>
      </c>
      <c r="C259" t="s">
        <v>52</v>
      </c>
      <c r="D259" t="s">
        <v>53</v>
      </c>
      <c r="E259" t="s">
        <v>54</v>
      </c>
      <c r="F259" t="s">
        <v>50</v>
      </c>
      <c r="G259">
        <v>7</v>
      </c>
      <c r="H259">
        <v>98372.6</v>
      </c>
      <c r="I259">
        <v>0.05</v>
      </c>
      <c r="J259">
        <v>688608.2</v>
      </c>
      <c r="K259">
        <v>34430.410000000003</v>
      </c>
      <c r="L259">
        <v>7.4999999999999997E-2</v>
      </c>
      <c r="M259">
        <v>49063.33</v>
      </c>
      <c r="N259">
        <v>703241.12</v>
      </c>
      <c r="O259" t="s">
        <v>35</v>
      </c>
    </row>
    <row r="260" spans="1:15" x14ac:dyDescent="0.35">
      <c r="A260" t="s">
        <v>312</v>
      </c>
      <c r="B260" s="2">
        <v>46168</v>
      </c>
      <c r="C260" t="s">
        <v>56</v>
      </c>
      <c r="D260" t="s">
        <v>57</v>
      </c>
      <c r="E260" t="s">
        <v>58</v>
      </c>
      <c r="F260" t="s">
        <v>19</v>
      </c>
      <c r="G260">
        <v>1</v>
      </c>
      <c r="H260">
        <v>23955.11</v>
      </c>
      <c r="I260">
        <v>0.1</v>
      </c>
      <c r="J260">
        <v>23955.11</v>
      </c>
      <c r="K260">
        <v>2395.5100000000002</v>
      </c>
      <c r="L260">
        <v>7.4999999999999997E-2</v>
      </c>
      <c r="M260">
        <v>1616.97</v>
      </c>
      <c r="N260">
        <v>23176.57</v>
      </c>
      <c r="O260" t="s">
        <v>35</v>
      </c>
    </row>
    <row r="261" spans="1:15" x14ac:dyDescent="0.35">
      <c r="A261" t="s">
        <v>313</v>
      </c>
      <c r="B261" s="2">
        <v>46179</v>
      </c>
      <c r="C261" t="s">
        <v>60</v>
      </c>
      <c r="D261" t="s">
        <v>61</v>
      </c>
      <c r="E261" t="s">
        <v>62</v>
      </c>
      <c r="F261" t="s">
        <v>19</v>
      </c>
      <c r="G261">
        <v>2</v>
      </c>
      <c r="H261">
        <v>212830.05</v>
      </c>
      <c r="I261">
        <v>0.05</v>
      </c>
      <c r="J261">
        <v>425660.1</v>
      </c>
      <c r="K261">
        <v>21283</v>
      </c>
      <c r="L261">
        <v>7.4999999999999997E-2</v>
      </c>
      <c r="M261">
        <v>30328.28</v>
      </c>
      <c r="N261">
        <v>434705.38</v>
      </c>
      <c r="O261" t="s">
        <v>35</v>
      </c>
    </row>
    <row r="262" spans="1:15" x14ac:dyDescent="0.35">
      <c r="A262" t="s">
        <v>314</v>
      </c>
      <c r="B262" s="2">
        <v>46075</v>
      </c>
      <c r="C262" t="s">
        <v>16</v>
      </c>
      <c r="D262" t="s">
        <v>17</v>
      </c>
      <c r="E262" t="s">
        <v>18</v>
      </c>
      <c r="F262" t="s">
        <v>19</v>
      </c>
      <c r="G262">
        <v>5</v>
      </c>
      <c r="H262">
        <v>700723.13</v>
      </c>
      <c r="I262">
        <v>0</v>
      </c>
      <c r="J262">
        <v>3503615.65</v>
      </c>
      <c r="K262">
        <v>0</v>
      </c>
      <c r="L262">
        <v>7.4999999999999997E-2</v>
      </c>
      <c r="M262">
        <v>262771.17</v>
      </c>
      <c r="N262">
        <v>3766386.82</v>
      </c>
      <c r="O262" t="s">
        <v>35</v>
      </c>
    </row>
    <row r="263" spans="1:15" x14ac:dyDescent="0.35">
      <c r="A263" t="s">
        <v>315</v>
      </c>
      <c r="B263" s="2">
        <v>46087</v>
      </c>
      <c r="C263" t="s">
        <v>22</v>
      </c>
      <c r="D263" t="s">
        <v>23</v>
      </c>
      <c r="E263" t="s">
        <v>24</v>
      </c>
      <c r="F263" t="s">
        <v>19</v>
      </c>
      <c r="G263">
        <v>4</v>
      </c>
      <c r="H263">
        <v>17188.57</v>
      </c>
      <c r="I263">
        <v>0.05</v>
      </c>
      <c r="J263">
        <v>68754.28</v>
      </c>
      <c r="K263">
        <v>3437.71</v>
      </c>
      <c r="L263">
        <v>7.4999999999999997E-2</v>
      </c>
      <c r="M263">
        <v>4898.74</v>
      </c>
      <c r="N263">
        <v>70215.31</v>
      </c>
      <c r="O263" t="s">
        <v>35</v>
      </c>
    </row>
    <row r="264" spans="1:15" x14ac:dyDescent="0.35">
      <c r="A264" t="s">
        <v>316</v>
      </c>
      <c r="B264" s="2">
        <v>46072</v>
      </c>
      <c r="C264" t="s">
        <v>27</v>
      </c>
      <c r="D264" t="s">
        <v>28</v>
      </c>
      <c r="E264" t="s">
        <v>29</v>
      </c>
      <c r="F264" t="s">
        <v>30</v>
      </c>
      <c r="G264">
        <v>4</v>
      </c>
      <c r="H264">
        <v>93747.23</v>
      </c>
      <c r="I264">
        <v>0.15</v>
      </c>
      <c r="J264">
        <v>374988.92</v>
      </c>
      <c r="K264">
        <v>56248.34</v>
      </c>
      <c r="L264">
        <v>7.4999999999999997E-2</v>
      </c>
      <c r="M264">
        <v>23905.54</v>
      </c>
      <c r="N264">
        <v>342646.12</v>
      </c>
      <c r="O264" t="s">
        <v>20</v>
      </c>
    </row>
    <row r="265" spans="1:15" x14ac:dyDescent="0.35">
      <c r="A265" t="s">
        <v>317</v>
      </c>
      <c r="B265" s="2">
        <v>46078</v>
      </c>
      <c r="C265" t="s">
        <v>32</v>
      </c>
      <c r="D265" t="s">
        <v>33</v>
      </c>
      <c r="E265" t="s">
        <v>34</v>
      </c>
      <c r="F265" t="s">
        <v>30</v>
      </c>
      <c r="G265">
        <v>6</v>
      </c>
      <c r="H265">
        <v>12217.75</v>
      </c>
      <c r="I265">
        <v>0</v>
      </c>
      <c r="J265">
        <v>73306.5</v>
      </c>
      <c r="K265">
        <v>0</v>
      </c>
      <c r="L265">
        <v>7.4999999999999997E-2</v>
      </c>
      <c r="M265">
        <v>5497.99</v>
      </c>
      <c r="N265">
        <v>78804.490000000005</v>
      </c>
      <c r="O265" t="s">
        <v>35</v>
      </c>
    </row>
    <row r="266" spans="1:15" x14ac:dyDescent="0.35">
      <c r="A266" t="s">
        <v>318</v>
      </c>
      <c r="B266" s="2">
        <v>46263</v>
      </c>
      <c r="C266" t="s">
        <v>37</v>
      </c>
      <c r="D266" t="s">
        <v>38</v>
      </c>
      <c r="E266" t="s">
        <v>39</v>
      </c>
      <c r="F266" t="s">
        <v>40</v>
      </c>
      <c r="G266">
        <v>4</v>
      </c>
      <c r="H266">
        <v>158107.82</v>
      </c>
      <c r="I266">
        <v>0.05</v>
      </c>
      <c r="J266">
        <v>632431.28</v>
      </c>
      <c r="K266">
        <v>31621.56</v>
      </c>
      <c r="L266">
        <v>7.4999999999999997E-2</v>
      </c>
      <c r="M266">
        <v>45060.73</v>
      </c>
      <c r="N266">
        <v>645870.44999999995</v>
      </c>
      <c r="O266" t="s">
        <v>35</v>
      </c>
    </row>
    <row r="267" spans="1:15" x14ac:dyDescent="0.35">
      <c r="A267" t="s">
        <v>319</v>
      </c>
      <c r="B267" s="2">
        <v>46029</v>
      </c>
      <c r="C267" t="s">
        <v>42</v>
      </c>
      <c r="D267" t="s">
        <v>43</v>
      </c>
      <c r="E267" t="s">
        <v>44</v>
      </c>
      <c r="F267" t="s">
        <v>45</v>
      </c>
      <c r="G267">
        <v>3</v>
      </c>
      <c r="H267">
        <v>80600.78</v>
      </c>
      <c r="I267">
        <v>0.05</v>
      </c>
      <c r="J267">
        <v>241802.34</v>
      </c>
      <c r="K267">
        <v>12090.12</v>
      </c>
      <c r="L267">
        <v>7.4999999999999997E-2</v>
      </c>
      <c r="M267">
        <v>17228.419999999998</v>
      </c>
      <c r="N267">
        <v>246940.64</v>
      </c>
      <c r="O267" t="s">
        <v>20</v>
      </c>
    </row>
    <row r="268" spans="1:15" x14ac:dyDescent="0.35">
      <c r="A268" t="s">
        <v>320</v>
      </c>
      <c r="B268" s="2">
        <v>46203</v>
      </c>
      <c r="C268" t="s">
        <v>47</v>
      </c>
      <c r="D268" t="s">
        <v>48</v>
      </c>
      <c r="E268" t="s">
        <v>49</v>
      </c>
      <c r="F268" t="s">
        <v>50</v>
      </c>
      <c r="G268">
        <v>5</v>
      </c>
      <c r="H268">
        <v>111510.58</v>
      </c>
      <c r="I268">
        <v>0.1</v>
      </c>
      <c r="J268">
        <v>557552.9</v>
      </c>
      <c r="K268">
        <v>55755.29</v>
      </c>
      <c r="L268">
        <v>7.4999999999999997E-2</v>
      </c>
      <c r="M268">
        <v>37634.82</v>
      </c>
      <c r="N268">
        <v>539432.43000000005</v>
      </c>
      <c r="O268" t="s">
        <v>35</v>
      </c>
    </row>
    <row r="269" spans="1:15" x14ac:dyDescent="0.35">
      <c r="A269" t="s">
        <v>321</v>
      </c>
      <c r="B269" s="2">
        <v>46260</v>
      </c>
      <c r="C269" t="s">
        <v>52</v>
      </c>
      <c r="D269" t="s">
        <v>53</v>
      </c>
      <c r="E269" t="s">
        <v>54</v>
      </c>
      <c r="F269" t="s">
        <v>50</v>
      </c>
      <c r="G269">
        <v>4</v>
      </c>
      <c r="H269">
        <v>107918.53</v>
      </c>
      <c r="I269">
        <v>0</v>
      </c>
      <c r="J269">
        <v>431674.12</v>
      </c>
      <c r="K269">
        <v>0</v>
      </c>
      <c r="L269">
        <v>7.4999999999999997E-2</v>
      </c>
      <c r="M269">
        <v>32375.56</v>
      </c>
      <c r="N269">
        <v>464049.68</v>
      </c>
      <c r="O269" t="s">
        <v>35</v>
      </c>
    </row>
    <row r="270" spans="1:15" x14ac:dyDescent="0.35">
      <c r="A270" t="s">
        <v>322</v>
      </c>
      <c r="B270" s="2">
        <v>46186</v>
      </c>
      <c r="C270" t="s">
        <v>56</v>
      </c>
      <c r="D270" t="s">
        <v>57</v>
      </c>
      <c r="E270" t="s">
        <v>58</v>
      </c>
      <c r="F270" t="s">
        <v>19</v>
      </c>
      <c r="G270">
        <v>2</v>
      </c>
      <c r="H270">
        <v>25784.080000000002</v>
      </c>
      <c r="I270">
        <v>0.15</v>
      </c>
      <c r="J270">
        <v>51568.160000000003</v>
      </c>
      <c r="K270">
        <v>7735.22</v>
      </c>
      <c r="L270">
        <v>7.4999999999999997E-2</v>
      </c>
      <c r="M270">
        <v>3287.47</v>
      </c>
      <c r="N270">
        <v>47120.41</v>
      </c>
      <c r="O270" t="s">
        <v>35</v>
      </c>
    </row>
    <row r="271" spans="1:15" x14ac:dyDescent="0.35">
      <c r="A271" t="s">
        <v>323</v>
      </c>
      <c r="B271" s="2">
        <v>46099</v>
      </c>
      <c r="C271" t="s">
        <v>60</v>
      </c>
      <c r="D271" t="s">
        <v>61</v>
      </c>
      <c r="E271" t="s">
        <v>62</v>
      </c>
      <c r="F271" t="s">
        <v>19</v>
      </c>
      <c r="G271">
        <v>5</v>
      </c>
      <c r="H271">
        <v>210278.38</v>
      </c>
      <c r="I271">
        <v>0.1</v>
      </c>
      <c r="J271">
        <v>1051391.8999999999</v>
      </c>
      <c r="K271">
        <v>105139.19</v>
      </c>
      <c r="L271">
        <v>7.4999999999999997E-2</v>
      </c>
      <c r="M271">
        <v>70968.95</v>
      </c>
      <c r="N271">
        <v>1017221.66</v>
      </c>
      <c r="O271" t="s">
        <v>25</v>
      </c>
    </row>
    <row r="272" spans="1:15" x14ac:dyDescent="0.35">
      <c r="A272" t="s">
        <v>324</v>
      </c>
      <c r="B272" s="2">
        <v>46093</v>
      </c>
      <c r="C272" t="s">
        <v>16</v>
      </c>
      <c r="D272" t="s">
        <v>17</v>
      </c>
      <c r="E272" t="s">
        <v>18</v>
      </c>
      <c r="F272" t="s">
        <v>19</v>
      </c>
      <c r="G272">
        <v>5</v>
      </c>
      <c r="H272">
        <v>607514.63</v>
      </c>
      <c r="I272">
        <v>0</v>
      </c>
      <c r="J272">
        <v>3037573.15</v>
      </c>
      <c r="K272">
        <v>0</v>
      </c>
      <c r="L272">
        <v>0.1</v>
      </c>
      <c r="M272">
        <v>303757.32</v>
      </c>
      <c r="N272">
        <v>3341330.47</v>
      </c>
      <c r="O272" t="s">
        <v>35</v>
      </c>
    </row>
    <row r="273" spans="1:15" x14ac:dyDescent="0.35">
      <c r="A273" t="s">
        <v>325</v>
      </c>
      <c r="B273" s="2">
        <v>46102</v>
      </c>
      <c r="C273" t="s">
        <v>22</v>
      </c>
      <c r="D273" t="s">
        <v>23</v>
      </c>
      <c r="E273" t="s">
        <v>24</v>
      </c>
      <c r="F273" t="s">
        <v>19</v>
      </c>
      <c r="G273">
        <v>5</v>
      </c>
      <c r="H273">
        <v>19119.59</v>
      </c>
      <c r="I273">
        <v>0</v>
      </c>
      <c r="J273">
        <v>95597.95</v>
      </c>
      <c r="K273">
        <v>0</v>
      </c>
      <c r="L273">
        <v>0.1</v>
      </c>
      <c r="M273">
        <v>9559.7999999999993</v>
      </c>
      <c r="N273">
        <v>105157.75</v>
      </c>
      <c r="O273" t="s">
        <v>35</v>
      </c>
    </row>
    <row r="274" spans="1:15" x14ac:dyDescent="0.35">
      <c r="A274" t="s">
        <v>326</v>
      </c>
      <c r="B274" s="2">
        <v>46213</v>
      </c>
      <c r="C274" t="s">
        <v>27</v>
      </c>
      <c r="D274" t="s">
        <v>28</v>
      </c>
      <c r="E274" t="s">
        <v>29</v>
      </c>
      <c r="F274" t="s">
        <v>30</v>
      </c>
      <c r="G274">
        <v>7</v>
      </c>
      <c r="H274">
        <v>97359.679999999993</v>
      </c>
      <c r="I274">
        <v>0</v>
      </c>
      <c r="J274">
        <v>681517.76</v>
      </c>
      <c r="K274">
        <v>0</v>
      </c>
      <c r="L274">
        <v>7.4999999999999997E-2</v>
      </c>
      <c r="M274">
        <v>51113.83</v>
      </c>
      <c r="N274">
        <v>732631.59</v>
      </c>
      <c r="O274" t="s">
        <v>35</v>
      </c>
    </row>
    <row r="275" spans="1:15" x14ac:dyDescent="0.35">
      <c r="A275" t="s">
        <v>327</v>
      </c>
      <c r="B275" s="2">
        <v>46159</v>
      </c>
      <c r="C275" t="s">
        <v>32</v>
      </c>
      <c r="D275" t="s">
        <v>33</v>
      </c>
      <c r="E275" t="s">
        <v>34</v>
      </c>
      <c r="F275" t="s">
        <v>30</v>
      </c>
      <c r="G275">
        <v>4</v>
      </c>
      <c r="H275">
        <v>11755.56</v>
      </c>
      <c r="I275">
        <v>0.15</v>
      </c>
      <c r="J275">
        <v>47022.239999999998</v>
      </c>
      <c r="K275">
        <v>7053.34</v>
      </c>
      <c r="L275">
        <v>7.4999999999999997E-2</v>
      </c>
      <c r="M275">
        <v>2997.67</v>
      </c>
      <c r="N275">
        <v>42966.57</v>
      </c>
      <c r="O275" t="s">
        <v>35</v>
      </c>
    </row>
    <row r="276" spans="1:15" x14ac:dyDescent="0.35">
      <c r="A276" t="s">
        <v>328</v>
      </c>
      <c r="B276" s="2">
        <v>46231</v>
      </c>
      <c r="C276" t="s">
        <v>37</v>
      </c>
      <c r="D276" t="s">
        <v>38</v>
      </c>
      <c r="E276" t="s">
        <v>39</v>
      </c>
      <c r="F276" t="s">
        <v>40</v>
      </c>
      <c r="G276">
        <v>2</v>
      </c>
      <c r="H276">
        <v>139945.10999999999</v>
      </c>
      <c r="I276">
        <v>0.15</v>
      </c>
      <c r="J276">
        <v>279890.21999999997</v>
      </c>
      <c r="K276">
        <v>41983.53</v>
      </c>
      <c r="L276">
        <v>0.1</v>
      </c>
      <c r="M276">
        <v>23790.67</v>
      </c>
      <c r="N276">
        <v>261697.36</v>
      </c>
      <c r="O276" t="s">
        <v>25</v>
      </c>
    </row>
    <row r="277" spans="1:15" x14ac:dyDescent="0.35">
      <c r="A277" t="s">
        <v>329</v>
      </c>
      <c r="B277" s="2">
        <v>46250</v>
      </c>
      <c r="C277" t="s">
        <v>42</v>
      </c>
      <c r="D277" t="s">
        <v>43</v>
      </c>
      <c r="E277" t="s">
        <v>44</v>
      </c>
      <c r="F277" t="s">
        <v>45</v>
      </c>
      <c r="G277">
        <v>5</v>
      </c>
      <c r="H277">
        <v>89776.41</v>
      </c>
      <c r="I277">
        <v>0.15</v>
      </c>
      <c r="J277">
        <v>448882.05</v>
      </c>
      <c r="K277">
        <v>67332.31</v>
      </c>
      <c r="L277">
        <v>7.4999999999999997E-2</v>
      </c>
      <c r="M277">
        <v>28616.23</v>
      </c>
      <c r="N277">
        <v>410165.97</v>
      </c>
      <c r="O277" t="s">
        <v>35</v>
      </c>
    </row>
    <row r="278" spans="1:15" x14ac:dyDescent="0.35">
      <c r="A278" t="s">
        <v>330</v>
      </c>
      <c r="B278" s="2">
        <v>46124</v>
      </c>
      <c r="C278" t="s">
        <v>47</v>
      </c>
      <c r="D278" t="s">
        <v>48</v>
      </c>
      <c r="E278" t="s">
        <v>49</v>
      </c>
      <c r="F278" t="s">
        <v>50</v>
      </c>
      <c r="G278">
        <v>3</v>
      </c>
      <c r="H278">
        <v>126233.87</v>
      </c>
      <c r="I278">
        <v>0.15</v>
      </c>
      <c r="J278">
        <v>378701.61</v>
      </c>
      <c r="K278">
        <v>56805.24</v>
      </c>
      <c r="L278">
        <v>0.1</v>
      </c>
      <c r="M278">
        <v>32189.64</v>
      </c>
      <c r="N278">
        <v>354086.01</v>
      </c>
      <c r="O278" t="s">
        <v>35</v>
      </c>
    </row>
    <row r="279" spans="1:15" x14ac:dyDescent="0.35">
      <c r="A279" t="s">
        <v>331</v>
      </c>
      <c r="B279" s="2">
        <v>46173</v>
      </c>
      <c r="C279" t="s">
        <v>52</v>
      </c>
      <c r="D279" t="s">
        <v>53</v>
      </c>
      <c r="E279" t="s">
        <v>54</v>
      </c>
      <c r="F279" t="s">
        <v>50</v>
      </c>
      <c r="G279">
        <v>5</v>
      </c>
      <c r="H279">
        <v>96272.45</v>
      </c>
      <c r="I279">
        <v>0.05</v>
      </c>
      <c r="J279">
        <v>481362.25</v>
      </c>
      <c r="K279">
        <v>24068.11</v>
      </c>
      <c r="L279">
        <v>0.1</v>
      </c>
      <c r="M279">
        <v>45729.41</v>
      </c>
      <c r="N279">
        <v>503023.55</v>
      </c>
      <c r="O279" t="s">
        <v>25</v>
      </c>
    </row>
    <row r="280" spans="1:15" x14ac:dyDescent="0.35">
      <c r="A280" t="s">
        <v>332</v>
      </c>
      <c r="B280" s="2">
        <v>46195</v>
      </c>
      <c r="C280" t="s">
        <v>56</v>
      </c>
      <c r="D280" t="s">
        <v>57</v>
      </c>
      <c r="E280" t="s">
        <v>58</v>
      </c>
      <c r="F280" t="s">
        <v>19</v>
      </c>
      <c r="G280">
        <v>4</v>
      </c>
      <c r="H280">
        <v>26402.33</v>
      </c>
      <c r="I280">
        <v>0.1</v>
      </c>
      <c r="J280">
        <v>105609.32</v>
      </c>
      <c r="K280">
        <v>10560.93</v>
      </c>
      <c r="L280">
        <v>0.1</v>
      </c>
      <c r="M280">
        <v>9504.84</v>
      </c>
      <c r="N280">
        <v>104553.23</v>
      </c>
      <c r="O280" t="s">
        <v>35</v>
      </c>
    </row>
    <row r="281" spans="1:15" x14ac:dyDescent="0.35">
      <c r="A281" t="s">
        <v>333</v>
      </c>
      <c r="B281" s="2">
        <v>46217</v>
      </c>
      <c r="C281" t="s">
        <v>60</v>
      </c>
      <c r="D281" t="s">
        <v>61</v>
      </c>
      <c r="E281" t="s">
        <v>62</v>
      </c>
      <c r="F281" t="s">
        <v>19</v>
      </c>
      <c r="G281">
        <v>5</v>
      </c>
      <c r="H281">
        <v>226951</v>
      </c>
      <c r="I281">
        <v>0.05</v>
      </c>
      <c r="J281">
        <v>1134755</v>
      </c>
      <c r="K281">
        <v>56737.75</v>
      </c>
      <c r="L281">
        <v>0.1</v>
      </c>
      <c r="M281">
        <v>107801.72</v>
      </c>
      <c r="N281">
        <v>1185818.97</v>
      </c>
      <c r="O281" t="s">
        <v>20</v>
      </c>
    </row>
    <row r="282" spans="1:15" x14ac:dyDescent="0.35">
      <c r="A282" t="s">
        <v>334</v>
      </c>
      <c r="B282" s="2">
        <v>46084</v>
      </c>
      <c r="C282" t="s">
        <v>16</v>
      </c>
      <c r="D282" t="s">
        <v>17</v>
      </c>
      <c r="E282" t="s">
        <v>18</v>
      </c>
      <c r="F282" t="s">
        <v>19</v>
      </c>
      <c r="G282">
        <v>4</v>
      </c>
      <c r="H282">
        <v>614494.93000000005</v>
      </c>
      <c r="I282">
        <v>0.1</v>
      </c>
      <c r="J282">
        <v>2457979.7200000002</v>
      </c>
      <c r="K282">
        <v>245797.97</v>
      </c>
      <c r="L282">
        <v>7.4999999999999997E-2</v>
      </c>
      <c r="M282">
        <v>165913.63</v>
      </c>
      <c r="N282">
        <v>2378095.38</v>
      </c>
      <c r="O282" t="s">
        <v>35</v>
      </c>
    </row>
    <row r="283" spans="1:15" x14ac:dyDescent="0.35">
      <c r="A283" t="s">
        <v>335</v>
      </c>
      <c r="B283" s="2">
        <v>46133</v>
      </c>
      <c r="C283" t="s">
        <v>22</v>
      </c>
      <c r="D283" t="s">
        <v>23</v>
      </c>
      <c r="E283" t="s">
        <v>24</v>
      </c>
      <c r="F283" t="s">
        <v>19</v>
      </c>
      <c r="G283">
        <v>7</v>
      </c>
      <c r="H283">
        <v>18938.349999999999</v>
      </c>
      <c r="I283">
        <v>0.05</v>
      </c>
      <c r="J283">
        <v>132568.45000000001</v>
      </c>
      <c r="K283">
        <v>6628.42</v>
      </c>
      <c r="L283">
        <v>0.1</v>
      </c>
      <c r="M283">
        <v>12594</v>
      </c>
      <c r="N283">
        <v>138534.03</v>
      </c>
      <c r="O283" t="s">
        <v>35</v>
      </c>
    </row>
    <row r="284" spans="1:15" x14ac:dyDescent="0.35">
      <c r="A284" t="s">
        <v>336</v>
      </c>
      <c r="B284" s="2">
        <v>46232</v>
      </c>
      <c r="C284" t="s">
        <v>27</v>
      </c>
      <c r="D284" t="s">
        <v>28</v>
      </c>
      <c r="E284" t="s">
        <v>29</v>
      </c>
      <c r="F284" t="s">
        <v>30</v>
      </c>
      <c r="G284">
        <v>7</v>
      </c>
      <c r="H284">
        <v>89843.55</v>
      </c>
      <c r="I284">
        <v>0.15</v>
      </c>
      <c r="J284">
        <v>628904.85</v>
      </c>
      <c r="K284">
        <v>94335.73</v>
      </c>
      <c r="L284">
        <v>0.1</v>
      </c>
      <c r="M284">
        <v>53456.91</v>
      </c>
      <c r="N284">
        <v>588026.03</v>
      </c>
      <c r="O284" t="s">
        <v>20</v>
      </c>
    </row>
    <row r="285" spans="1:15" x14ac:dyDescent="0.35">
      <c r="A285" t="s">
        <v>337</v>
      </c>
      <c r="B285" s="2">
        <v>46072</v>
      </c>
      <c r="C285" t="s">
        <v>32</v>
      </c>
      <c r="D285" t="s">
        <v>33</v>
      </c>
      <c r="E285" t="s">
        <v>34</v>
      </c>
      <c r="F285" t="s">
        <v>30</v>
      </c>
      <c r="G285">
        <v>4</v>
      </c>
      <c r="H285">
        <v>11052.26</v>
      </c>
      <c r="I285">
        <v>0.15</v>
      </c>
      <c r="J285">
        <v>44209.04</v>
      </c>
      <c r="K285">
        <v>6631.36</v>
      </c>
      <c r="L285">
        <v>7.4999999999999997E-2</v>
      </c>
      <c r="M285">
        <v>2818.33</v>
      </c>
      <c r="N285">
        <v>40396.01</v>
      </c>
      <c r="O285" t="s">
        <v>35</v>
      </c>
    </row>
    <row r="286" spans="1:15" x14ac:dyDescent="0.35">
      <c r="A286" t="s">
        <v>338</v>
      </c>
      <c r="B286" s="2">
        <v>46214</v>
      </c>
      <c r="C286" t="s">
        <v>37</v>
      </c>
      <c r="D286" t="s">
        <v>38</v>
      </c>
      <c r="E286" t="s">
        <v>39</v>
      </c>
      <c r="F286" t="s">
        <v>40</v>
      </c>
      <c r="G286">
        <v>1</v>
      </c>
      <c r="H286">
        <v>153163.51999999999</v>
      </c>
      <c r="I286">
        <v>0.1</v>
      </c>
      <c r="J286">
        <v>153163.51999999999</v>
      </c>
      <c r="K286">
        <v>15316.35</v>
      </c>
      <c r="L286">
        <v>0.1</v>
      </c>
      <c r="M286">
        <v>13784.72</v>
      </c>
      <c r="N286">
        <v>151631.89000000001</v>
      </c>
      <c r="O286" t="s">
        <v>35</v>
      </c>
    </row>
    <row r="287" spans="1:15" x14ac:dyDescent="0.35">
      <c r="A287" t="s">
        <v>339</v>
      </c>
      <c r="B287" s="2">
        <v>46184</v>
      </c>
      <c r="C287" t="s">
        <v>42</v>
      </c>
      <c r="D287" t="s">
        <v>43</v>
      </c>
      <c r="E287" t="s">
        <v>44</v>
      </c>
      <c r="F287" t="s">
        <v>45</v>
      </c>
      <c r="G287">
        <v>5</v>
      </c>
      <c r="H287">
        <v>88805.9</v>
      </c>
      <c r="I287">
        <v>0.05</v>
      </c>
      <c r="J287">
        <v>444029.5</v>
      </c>
      <c r="K287">
        <v>22201.48</v>
      </c>
      <c r="L287">
        <v>7.4999999999999997E-2</v>
      </c>
      <c r="M287">
        <v>31637.1</v>
      </c>
      <c r="N287">
        <v>453465.12</v>
      </c>
      <c r="O287" t="s">
        <v>35</v>
      </c>
    </row>
    <row r="288" spans="1:15" x14ac:dyDescent="0.35">
      <c r="A288" t="s">
        <v>340</v>
      </c>
      <c r="B288" s="2">
        <v>46086</v>
      </c>
      <c r="C288" t="s">
        <v>47</v>
      </c>
      <c r="D288" t="s">
        <v>48</v>
      </c>
      <c r="E288" t="s">
        <v>49</v>
      </c>
      <c r="F288" t="s">
        <v>50</v>
      </c>
      <c r="G288">
        <v>1</v>
      </c>
      <c r="H288">
        <v>128889.45</v>
      </c>
      <c r="I288">
        <v>0.1</v>
      </c>
      <c r="J288">
        <v>128889.45</v>
      </c>
      <c r="K288">
        <v>12888.94</v>
      </c>
      <c r="L288">
        <v>0.1</v>
      </c>
      <c r="M288">
        <v>11600.05</v>
      </c>
      <c r="N288">
        <v>127600.56</v>
      </c>
      <c r="O288" t="s">
        <v>35</v>
      </c>
    </row>
    <row r="289" spans="1:15" x14ac:dyDescent="0.35">
      <c r="A289" t="s">
        <v>341</v>
      </c>
      <c r="B289" s="2">
        <v>46122</v>
      </c>
      <c r="C289" t="s">
        <v>52</v>
      </c>
      <c r="D289" t="s">
        <v>53</v>
      </c>
      <c r="E289" t="s">
        <v>54</v>
      </c>
      <c r="F289" t="s">
        <v>50</v>
      </c>
      <c r="G289">
        <v>5</v>
      </c>
      <c r="H289">
        <v>93640.16</v>
      </c>
      <c r="I289">
        <v>0.15</v>
      </c>
      <c r="J289">
        <v>468200.8</v>
      </c>
      <c r="K289">
        <v>70230.12</v>
      </c>
      <c r="L289">
        <v>0.1</v>
      </c>
      <c r="M289">
        <v>39797.07</v>
      </c>
      <c r="N289">
        <v>437767.75</v>
      </c>
      <c r="O289" t="s">
        <v>20</v>
      </c>
    </row>
    <row r="290" spans="1:15" x14ac:dyDescent="0.35">
      <c r="A290" t="s">
        <v>342</v>
      </c>
      <c r="B290" s="2">
        <v>46176</v>
      </c>
      <c r="C290" t="s">
        <v>56</v>
      </c>
      <c r="D290" t="s">
        <v>57</v>
      </c>
      <c r="E290" t="s">
        <v>58</v>
      </c>
      <c r="F290" t="s">
        <v>19</v>
      </c>
      <c r="G290">
        <v>4</v>
      </c>
      <c r="H290">
        <v>24203.85</v>
      </c>
      <c r="I290">
        <v>0</v>
      </c>
      <c r="J290">
        <v>96815.4</v>
      </c>
      <c r="K290">
        <v>0</v>
      </c>
      <c r="L290">
        <v>0.1</v>
      </c>
      <c r="M290">
        <v>9681.5400000000009</v>
      </c>
      <c r="N290">
        <v>106496.94</v>
      </c>
      <c r="O290" t="s">
        <v>20</v>
      </c>
    </row>
    <row r="291" spans="1:15" x14ac:dyDescent="0.35">
      <c r="A291" t="s">
        <v>343</v>
      </c>
      <c r="B291" s="2">
        <v>46236</v>
      </c>
      <c r="C291" t="s">
        <v>60</v>
      </c>
      <c r="D291" t="s">
        <v>61</v>
      </c>
      <c r="E291" t="s">
        <v>62</v>
      </c>
      <c r="F291" t="s">
        <v>19</v>
      </c>
      <c r="G291">
        <v>6</v>
      </c>
      <c r="H291">
        <v>214575.08</v>
      </c>
      <c r="I291">
        <v>0.05</v>
      </c>
      <c r="J291">
        <v>1287450.48</v>
      </c>
      <c r="K291">
        <v>64372.52</v>
      </c>
      <c r="L291">
        <v>0.1</v>
      </c>
      <c r="M291">
        <v>122307.8</v>
      </c>
      <c r="N291">
        <v>1345385.76</v>
      </c>
      <c r="O291" t="s">
        <v>25</v>
      </c>
    </row>
    <row r="292" spans="1:15" x14ac:dyDescent="0.35">
      <c r="A292" t="s">
        <v>344</v>
      </c>
      <c r="B292" s="2">
        <v>46253</v>
      </c>
      <c r="C292" t="s">
        <v>16</v>
      </c>
      <c r="D292" t="s">
        <v>17</v>
      </c>
      <c r="E292" t="s">
        <v>18</v>
      </c>
      <c r="F292" t="s">
        <v>19</v>
      </c>
      <c r="G292">
        <v>7</v>
      </c>
      <c r="H292">
        <v>698763.3</v>
      </c>
      <c r="I292">
        <v>0.15</v>
      </c>
      <c r="J292">
        <v>4891343.0999999996</v>
      </c>
      <c r="K292">
        <v>733701.46</v>
      </c>
      <c r="L292">
        <v>7.4999999999999997E-2</v>
      </c>
      <c r="M292">
        <v>311823.12</v>
      </c>
      <c r="N292">
        <v>4469464.76</v>
      </c>
      <c r="O292" t="s">
        <v>20</v>
      </c>
    </row>
    <row r="293" spans="1:15" x14ac:dyDescent="0.35">
      <c r="A293" t="s">
        <v>345</v>
      </c>
      <c r="B293" s="2">
        <v>46160</v>
      </c>
      <c r="C293" t="s">
        <v>22</v>
      </c>
      <c r="D293" t="s">
        <v>23</v>
      </c>
      <c r="E293" t="s">
        <v>24</v>
      </c>
      <c r="F293" t="s">
        <v>19</v>
      </c>
      <c r="G293">
        <v>4</v>
      </c>
      <c r="H293">
        <v>16630.810000000001</v>
      </c>
      <c r="I293">
        <v>0.1</v>
      </c>
      <c r="J293">
        <v>66523.240000000005</v>
      </c>
      <c r="K293">
        <v>6652.32</v>
      </c>
      <c r="L293">
        <v>7.4999999999999997E-2</v>
      </c>
      <c r="M293">
        <v>4490.32</v>
      </c>
      <c r="N293">
        <v>64361.24</v>
      </c>
      <c r="O293" t="s">
        <v>35</v>
      </c>
    </row>
    <row r="294" spans="1:15" x14ac:dyDescent="0.35">
      <c r="A294" t="s">
        <v>346</v>
      </c>
      <c r="B294" s="2">
        <v>46252</v>
      </c>
      <c r="C294" t="s">
        <v>27</v>
      </c>
      <c r="D294" t="s">
        <v>28</v>
      </c>
      <c r="E294" t="s">
        <v>29</v>
      </c>
      <c r="F294" t="s">
        <v>30</v>
      </c>
      <c r="G294">
        <v>3</v>
      </c>
      <c r="H294">
        <v>91238.13</v>
      </c>
      <c r="I294">
        <v>0.1</v>
      </c>
      <c r="J294">
        <v>273714.39</v>
      </c>
      <c r="K294">
        <v>27371.439999999999</v>
      </c>
      <c r="L294">
        <v>0.1</v>
      </c>
      <c r="M294">
        <v>24634.3</v>
      </c>
      <c r="N294">
        <v>270977.25</v>
      </c>
      <c r="O294" t="s">
        <v>35</v>
      </c>
    </row>
    <row r="295" spans="1:15" x14ac:dyDescent="0.35">
      <c r="A295" t="s">
        <v>347</v>
      </c>
      <c r="B295" s="2">
        <v>46259</v>
      </c>
      <c r="C295" t="s">
        <v>32</v>
      </c>
      <c r="D295" t="s">
        <v>33</v>
      </c>
      <c r="E295" t="s">
        <v>34</v>
      </c>
      <c r="F295" t="s">
        <v>30</v>
      </c>
      <c r="G295">
        <v>5</v>
      </c>
      <c r="H295">
        <v>12853.06</v>
      </c>
      <c r="I295">
        <v>0.1</v>
      </c>
      <c r="J295">
        <v>64265.3</v>
      </c>
      <c r="K295">
        <v>6426.53</v>
      </c>
      <c r="L295">
        <v>7.4999999999999997E-2</v>
      </c>
      <c r="M295">
        <v>4337.91</v>
      </c>
      <c r="N295">
        <v>62176.68</v>
      </c>
      <c r="O295" t="s">
        <v>35</v>
      </c>
    </row>
    <row r="296" spans="1:15" x14ac:dyDescent="0.35">
      <c r="A296" t="s">
        <v>348</v>
      </c>
      <c r="B296" s="2">
        <v>46058</v>
      </c>
      <c r="C296" t="s">
        <v>37</v>
      </c>
      <c r="D296" t="s">
        <v>38</v>
      </c>
      <c r="E296" t="s">
        <v>39</v>
      </c>
      <c r="F296" t="s">
        <v>40</v>
      </c>
      <c r="G296">
        <v>7</v>
      </c>
      <c r="H296">
        <v>157822.1</v>
      </c>
      <c r="I296">
        <v>0.1</v>
      </c>
      <c r="J296">
        <v>1104754.7</v>
      </c>
      <c r="K296">
        <v>110475.47</v>
      </c>
      <c r="L296">
        <v>0.1</v>
      </c>
      <c r="M296">
        <v>99427.92</v>
      </c>
      <c r="N296">
        <v>1093707.1499999999</v>
      </c>
      <c r="O296" t="s">
        <v>35</v>
      </c>
    </row>
    <row r="297" spans="1:15" x14ac:dyDescent="0.35">
      <c r="A297" t="s">
        <v>349</v>
      </c>
      <c r="B297" s="2">
        <v>46221</v>
      </c>
      <c r="C297" t="s">
        <v>42</v>
      </c>
      <c r="D297" t="s">
        <v>43</v>
      </c>
      <c r="E297" t="s">
        <v>44</v>
      </c>
      <c r="F297" t="s">
        <v>45</v>
      </c>
      <c r="G297">
        <v>6</v>
      </c>
      <c r="H297">
        <v>81328.73</v>
      </c>
      <c r="I297">
        <v>0.1</v>
      </c>
      <c r="J297">
        <v>487972.38</v>
      </c>
      <c r="K297">
        <v>48797.24</v>
      </c>
      <c r="L297">
        <v>7.4999999999999997E-2</v>
      </c>
      <c r="M297">
        <v>32938.14</v>
      </c>
      <c r="N297">
        <v>472113.28</v>
      </c>
      <c r="O297" t="s">
        <v>25</v>
      </c>
    </row>
    <row r="298" spans="1:15" x14ac:dyDescent="0.35">
      <c r="A298" t="s">
        <v>350</v>
      </c>
      <c r="B298" s="2">
        <v>46073</v>
      </c>
      <c r="C298" t="s">
        <v>47</v>
      </c>
      <c r="D298" t="s">
        <v>48</v>
      </c>
      <c r="E298" t="s">
        <v>49</v>
      </c>
      <c r="F298" t="s">
        <v>50</v>
      </c>
      <c r="G298">
        <v>4</v>
      </c>
      <c r="H298">
        <v>111001</v>
      </c>
      <c r="I298">
        <v>0</v>
      </c>
      <c r="J298">
        <v>444004</v>
      </c>
      <c r="K298">
        <v>0</v>
      </c>
      <c r="L298">
        <v>7.4999999999999997E-2</v>
      </c>
      <c r="M298">
        <v>33300.300000000003</v>
      </c>
      <c r="N298">
        <v>477304.3</v>
      </c>
      <c r="O298" t="s">
        <v>35</v>
      </c>
    </row>
    <row r="299" spans="1:15" x14ac:dyDescent="0.35">
      <c r="A299" t="s">
        <v>351</v>
      </c>
      <c r="B299" s="2">
        <v>46223</v>
      </c>
      <c r="C299" t="s">
        <v>52</v>
      </c>
      <c r="D299" t="s">
        <v>53</v>
      </c>
      <c r="E299" t="s">
        <v>54</v>
      </c>
      <c r="F299" t="s">
        <v>50</v>
      </c>
      <c r="G299">
        <v>3</v>
      </c>
      <c r="H299">
        <v>107432.33</v>
      </c>
      <c r="I299">
        <v>0.1</v>
      </c>
      <c r="J299">
        <v>322296.99</v>
      </c>
      <c r="K299">
        <v>32229.7</v>
      </c>
      <c r="L299">
        <v>7.4999999999999997E-2</v>
      </c>
      <c r="M299">
        <v>21755.05</v>
      </c>
      <c r="N299">
        <v>311822.34000000003</v>
      </c>
      <c r="O299" t="s">
        <v>25</v>
      </c>
    </row>
    <row r="300" spans="1:15" x14ac:dyDescent="0.35">
      <c r="A300" t="s">
        <v>352</v>
      </c>
      <c r="B300" s="2">
        <v>46188</v>
      </c>
      <c r="C300" t="s">
        <v>56</v>
      </c>
      <c r="D300" t="s">
        <v>57</v>
      </c>
      <c r="E300" t="s">
        <v>58</v>
      </c>
      <c r="F300" t="s">
        <v>19</v>
      </c>
      <c r="G300">
        <v>1</v>
      </c>
      <c r="H300">
        <v>24282.97</v>
      </c>
      <c r="I300">
        <v>0.05</v>
      </c>
      <c r="J300">
        <v>24282.97</v>
      </c>
      <c r="K300">
        <v>1214.1500000000001</v>
      </c>
      <c r="L300">
        <v>7.4999999999999997E-2</v>
      </c>
      <c r="M300">
        <v>1730.16</v>
      </c>
      <c r="N300">
        <v>24798.98</v>
      </c>
      <c r="O300" t="s">
        <v>35</v>
      </c>
    </row>
    <row r="301" spans="1:15" x14ac:dyDescent="0.35">
      <c r="A301" t="s">
        <v>353</v>
      </c>
      <c r="B301" s="2">
        <v>46041</v>
      </c>
      <c r="C301" t="s">
        <v>60</v>
      </c>
      <c r="D301" t="s">
        <v>61</v>
      </c>
      <c r="E301" t="s">
        <v>62</v>
      </c>
      <c r="F301" t="s">
        <v>354</v>
      </c>
      <c r="G301">
        <v>1</v>
      </c>
      <c r="H301">
        <v>225338.67</v>
      </c>
      <c r="I301">
        <v>0.15</v>
      </c>
      <c r="J301">
        <v>225338.67</v>
      </c>
      <c r="K301">
        <v>33800.800000000003</v>
      </c>
      <c r="L301">
        <v>0.1</v>
      </c>
      <c r="M301">
        <v>19153.79</v>
      </c>
      <c r="N301">
        <v>210691.66</v>
      </c>
      <c r="O301" t="s">
        <v>35</v>
      </c>
    </row>
    <row r="302" spans="1:15" x14ac:dyDescent="0.35">
      <c r="A302" t="s">
        <v>355</v>
      </c>
      <c r="B302" s="2">
        <v>46171</v>
      </c>
      <c r="C302" t="s">
        <v>16</v>
      </c>
      <c r="D302" t="s">
        <v>17</v>
      </c>
      <c r="E302" t="s">
        <v>18</v>
      </c>
      <c r="F302" t="s">
        <v>19</v>
      </c>
      <c r="G302">
        <v>3</v>
      </c>
      <c r="H302">
        <v>698692.12</v>
      </c>
      <c r="I302">
        <v>0.05</v>
      </c>
      <c r="J302">
        <v>2096076.36</v>
      </c>
      <c r="K302">
        <v>104803.82</v>
      </c>
      <c r="L302">
        <v>7.4999999999999997E-2</v>
      </c>
      <c r="M302">
        <v>149345.44</v>
      </c>
      <c r="N302">
        <v>2140617.98</v>
      </c>
      <c r="O302" t="s">
        <v>35</v>
      </c>
    </row>
    <row r="303" spans="1:15" x14ac:dyDescent="0.35">
      <c r="A303" t="s">
        <v>356</v>
      </c>
      <c r="B303" s="2">
        <v>46225</v>
      </c>
      <c r="C303" t="s">
        <v>22</v>
      </c>
      <c r="D303" t="s">
        <v>23</v>
      </c>
      <c r="E303" t="s">
        <v>24</v>
      </c>
      <c r="F303" t="s">
        <v>19</v>
      </c>
      <c r="G303">
        <v>7</v>
      </c>
      <c r="H303">
        <v>17866.64</v>
      </c>
      <c r="I303">
        <v>0.05</v>
      </c>
      <c r="J303">
        <v>125066.48</v>
      </c>
      <c r="K303">
        <v>6253.32</v>
      </c>
      <c r="L303">
        <v>0.1</v>
      </c>
      <c r="M303">
        <v>11881.32</v>
      </c>
      <c r="N303">
        <v>130694.48</v>
      </c>
      <c r="O303" t="s">
        <v>20</v>
      </c>
    </row>
    <row r="304" spans="1:15" x14ac:dyDescent="0.35">
      <c r="A304" t="s">
        <v>357</v>
      </c>
      <c r="B304" s="2">
        <v>46157</v>
      </c>
      <c r="C304" t="s">
        <v>27</v>
      </c>
      <c r="D304" t="s">
        <v>28</v>
      </c>
      <c r="E304" t="s">
        <v>29</v>
      </c>
      <c r="F304" t="s">
        <v>30</v>
      </c>
      <c r="G304">
        <v>4</v>
      </c>
      <c r="H304">
        <v>87894.399999999994</v>
      </c>
      <c r="I304">
        <v>0.15</v>
      </c>
      <c r="J304">
        <v>351577.59999999998</v>
      </c>
      <c r="K304">
        <v>52736.639999999999</v>
      </c>
      <c r="L304">
        <v>0.1</v>
      </c>
      <c r="M304">
        <v>29884.1</v>
      </c>
      <c r="N304">
        <v>328725.06</v>
      </c>
      <c r="O304" t="s">
        <v>35</v>
      </c>
    </row>
    <row r="305" spans="1:15" x14ac:dyDescent="0.35">
      <c r="A305" t="s">
        <v>358</v>
      </c>
      <c r="B305" s="2">
        <v>46043</v>
      </c>
      <c r="C305" t="s">
        <v>32</v>
      </c>
      <c r="D305" t="s">
        <v>33</v>
      </c>
      <c r="E305" t="s">
        <v>34</v>
      </c>
      <c r="F305" t="s">
        <v>30</v>
      </c>
      <c r="G305">
        <v>7</v>
      </c>
      <c r="H305">
        <v>11964.52</v>
      </c>
      <c r="I305">
        <v>0.05</v>
      </c>
      <c r="J305">
        <v>83751.64</v>
      </c>
      <c r="K305">
        <v>4187.58</v>
      </c>
      <c r="L305">
        <v>7.4999999999999997E-2</v>
      </c>
      <c r="M305">
        <v>5967.3</v>
      </c>
      <c r="N305">
        <v>85531.36</v>
      </c>
      <c r="O305" t="s">
        <v>20</v>
      </c>
    </row>
    <row r="306" spans="1:15" x14ac:dyDescent="0.35">
      <c r="A306" t="s">
        <v>359</v>
      </c>
      <c r="B306" s="2">
        <v>46214</v>
      </c>
      <c r="C306" t="s">
        <v>37</v>
      </c>
      <c r="D306" t="s">
        <v>38</v>
      </c>
      <c r="E306" t="s">
        <v>39</v>
      </c>
      <c r="F306" t="s">
        <v>40</v>
      </c>
      <c r="G306">
        <v>4</v>
      </c>
      <c r="H306">
        <v>148327.34</v>
      </c>
      <c r="I306">
        <v>0.05</v>
      </c>
      <c r="J306">
        <v>593309.36</v>
      </c>
      <c r="K306">
        <v>29665.47</v>
      </c>
      <c r="L306">
        <v>0.1</v>
      </c>
      <c r="M306">
        <v>56364.39</v>
      </c>
      <c r="N306">
        <v>620008.28</v>
      </c>
      <c r="O306" t="s">
        <v>35</v>
      </c>
    </row>
    <row r="307" spans="1:15" x14ac:dyDescent="0.35">
      <c r="A307" t="s">
        <v>360</v>
      </c>
      <c r="B307" s="2">
        <v>46098</v>
      </c>
      <c r="C307" t="s">
        <v>42</v>
      </c>
      <c r="D307" t="s">
        <v>43</v>
      </c>
      <c r="E307" t="s">
        <v>44</v>
      </c>
      <c r="F307" t="s">
        <v>45</v>
      </c>
      <c r="G307">
        <v>6</v>
      </c>
      <c r="H307">
        <v>82632.59</v>
      </c>
      <c r="I307">
        <v>0.05</v>
      </c>
      <c r="J307">
        <v>495795.54</v>
      </c>
      <c r="K307">
        <v>24789.78</v>
      </c>
      <c r="L307">
        <v>0.1</v>
      </c>
      <c r="M307">
        <v>47100.58</v>
      </c>
      <c r="N307">
        <v>518106.34</v>
      </c>
      <c r="O307" t="s">
        <v>35</v>
      </c>
    </row>
    <row r="308" spans="1:15" x14ac:dyDescent="0.35">
      <c r="A308" t="s">
        <v>361</v>
      </c>
      <c r="B308" s="2">
        <v>46248</v>
      </c>
      <c r="C308" t="s">
        <v>47</v>
      </c>
      <c r="D308" t="s">
        <v>48</v>
      </c>
      <c r="E308" t="s">
        <v>49</v>
      </c>
      <c r="F308" t="s">
        <v>50</v>
      </c>
      <c r="G308">
        <v>5</v>
      </c>
      <c r="H308">
        <v>113271.95</v>
      </c>
      <c r="I308">
        <v>0</v>
      </c>
      <c r="J308">
        <v>566359.75</v>
      </c>
      <c r="K308">
        <v>0</v>
      </c>
      <c r="L308">
        <v>0.1</v>
      </c>
      <c r="M308">
        <v>56635.98</v>
      </c>
      <c r="N308">
        <v>622995.73</v>
      </c>
      <c r="O308" t="s">
        <v>35</v>
      </c>
    </row>
    <row r="309" spans="1:15" x14ac:dyDescent="0.35">
      <c r="A309" t="s">
        <v>362</v>
      </c>
      <c r="B309" s="2">
        <v>46037</v>
      </c>
      <c r="C309" t="s">
        <v>52</v>
      </c>
      <c r="D309" t="s">
        <v>53</v>
      </c>
      <c r="E309" t="s">
        <v>54</v>
      </c>
      <c r="F309" t="s">
        <v>50</v>
      </c>
      <c r="G309">
        <v>6</v>
      </c>
      <c r="H309">
        <v>107595.2</v>
      </c>
      <c r="I309">
        <v>0.05</v>
      </c>
      <c r="J309">
        <v>645571.19999999995</v>
      </c>
      <c r="K309">
        <v>32278.560000000001</v>
      </c>
      <c r="L309">
        <v>0.1</v>
      </c>
      <c r="M309">
        <v>61329.26</v>
      </c>
      <c r="N309">
        <v>674621.9</v>
      </c>
      <c r="O309" t="s">
        <v>20</v>
      </c>
    </row>
    <row r="310" spans="1:15" x14ac:dyDescent="0.35">
      <c r="A310" t="s">
        <v>363</v>
      </c>
      <c r="B310" s="2">
        <v>46037</v>
      </c>
      <c r="C310" t="s">
        <v>56</v>
      </c>
      <c r="D310" t="s">
        <v>57</v>
      </c>
      <c r="E310" t="s">
        <v>58</v>
      </c>
      <c r="F310" t="s">
        <v>19</v>
      </c>
      <c r="G310">
        <v>1</v>
      </c>
      <c r="H310">
        <v>26810.59</v>
      </c>
      <c r="I310">
        <v>0</v>
      </c>
      <c r="J310">
        <v>26810.59</v>
      </c>
      <c r="K310">
        <v>0</v>
      </c>
      <c r="L310">
        <v>0.1</v>
      </c>
      <c r="M310">
        <v>2681.06</v>
      </c>
      <c r="N310">
        <v>29491.65</v>
      </c>
      <c r="O310" t="s">
        <v>35</v>
      </c>
    </row>
    <row r="311" spans="1:15" x14ac:dyDescent="0.35">
      <c r="A311" t="s">
        <v>364</v>
      </c>
      <c r="B311" s="2">
        <v>46186</v>
      </c>
      <c r="C311" t="s">
        <v>60</v>
      </c>
      <c r="D311" t="s">
        <v>61</v>
      </c>
      <c r="E311" t="s">
        <v>62</v>
      </c>
      <c r="F311" t="s">
        <v>19</v>
      </c>
      <c r="G311">
        <v>1</v>
      </c>
      <c r="H311">
        <v>210919.98</v>
      </c>
      <c r="I311">
        <v>0</v>
      </c>
      <c r="J311">
        <v>210919.98</v>
      </c>
      <c r="K311">
        <v>0</v>
      </c>
      <c r="L311">
        <v>0.1</v>
      </c>
      <c r="M311">
        <v>21092</v>
      </c>
      <c r="N311">
        <v>232011.98</v>
      </c>
      <c r="O311" t="s">
        <v>35</v>
      </c>
    </row>
    <row r="312" spans="1:15" x14ac:dyDescent="0.35">
      <c r="A312" t="s">
        <v>365</v>
      </c>
      <c r="B312" s="2">
        <v>46228</v>
      </c>
      <c r="C312" t="s">
        <v>16</v>
      </c>
      <c r="D312" t="s">
        <v>17</v>
      </c>
      <c r="E312" t="s">
        <v>18</v>
      </c>
      <c r="F312" t="s">
        <v>19</v>
      </c>
      <c r="G312">
        <v>6</v>
      </c>
      <c r="H312">
        <v>662288.19999999995</v>
      </c>
      <c r="I312">
        <v>0.15</v>
      </c>
      <c r="J312">
        <v>3973729.2</v>
      </c>
      <c r="K312">
        <v>596059.38</v>
      </c>
      <c r="L312">
        <v>7.4999999999999997E-2</v>
      </c>
      <c r="M312">
        <v>253325.24</v>
      </c>
      <c r="N312">
        <v>3630995.06</v>
      </c>
      <c r="O312" t="s">
        <v>20</v>
      </c>
    </row>
    <row r="313" spans="1:15" x14ac:dyDescent="0.35">
      <c r="A313" t="s">
        <v>366</v>
      </c>
      <c r="B313" s="2">
        <v>46059</v>
      </c>
      <c r="C313" t="s">
        <v>22</v>
      </c>
      <c r="D313" t="s">
        <v>23</v>
      </c>
      <c r="E313" t="s">
        <v>24</v>
      </c>
      <c r="F313" t="s">
        <v>19</v>
      </c>
      <c r="G313">
        <v>2</v>
      </c>
      <c r="H313">
        <v>17500.21</v>
      </c>
      <c r="I313">
        <v>0.05</v>
      </c>
      <c r="J313">
        <v>35000.42</v>
      </c>
      <c r="K313">
        <v>1750.02</v>
      </c>
      <c r="L313">
        <v>7.4999999999999997E-2</v>
      </c>
      <c r="M313">
        <v>2493.7800000000002</v>
      </c>
      <c r="N313">
        <v>35744.18</v>
      </c>
      <c r="O313" t="s">
        <v>25</v>
      </c>
    </row>
    <row r="314" spans="1:15" x14ac:dyDescent="0.35">
      <c r="A314" t="s">
        <v>367</v>
      </c>
      <c r="B314" s="2">
        <v>46176</v>
      </c>
      <c r="C314" t="s">
        <v>27</v>
      </c>
      <c r="D314" t="s">
        <v>28</v>
      </c>
      <c r="E314" t="s">
        <v>29</v>
      </c>
      <c r="F314" t="s">
        <v>30</v>
      </c>
      <c r="G314">
        <v>6</v>
      </c>
      <c r="H314">
        <v>87904.69</v>
      </c>
      <c r="I314">
        <v>0.15</v>
      </c>
      <c r="J314">
        <v>527428.14</v>
      </c>
      <c r="K314">
        <v>79114.22</v>
      </c>
      <c r="L314">
        <v>0.1</v>
      </c>
      <c r="M314">
        <v>44831.39</v>
      </c>
      <c r="N314">
        <v>493145.31</v>
      </c>
      <c r="O314" t="s">
        <v>35</v>
      </c>
    </row>
    <row r="315" spans="1:15" x14ac:dyDescent="0.35">
      <c r="A315" t="s">
        <v>368</v>
      </c>
      <c r="B315" s="2">
        <v>46169</v>
      </c>
      <c r="C315" t="s">
        <v>32</v>
      </c>
      <c r="D315" t="s">
        <v>33</v>
      </c>
      <c r="E315" t="s">
        <v>34</v>
      </c>
      <c r="F315" t="s">
        <v>30</v>
      </c>
      <c r="G315">
        <v>6</v>
      </c>
      <c r="H315">
        <v>12129.68</v>
      </c>
      <c r="I315">
        <v>0.05</v>
      </c>
      <c r="J315">
        <v>72778.080000000002</v>
      </c>
      <c r="K315">
        <v>3638.9</v>
      </c>
      <c r="L315">
        <v>0.1</v>
      </c>
      <c r="M315">
        <v>6913.92</v>
      </c>
      <c r="N315">
        <v>76053.100000000006</v>
      </c>
      <c r="O315" t="s">
        <v>35</v>
      </c>
    </row>
    <row r="316" spans="1:15" x14ac:dyDescent="0.35">
      <c r="A316" t="s">
        <v>369</v>
      </c>
      <c r="B316" s="2">
        <v>46087</v>
      </c>
      <c r="C316" t="s">
        <v>37</v>
      </c>
      <c r="D316" t="s">
        <v>38</v>
      </c>
      <c r="E316" t="s">
        <v>39</v>
      </c>
      <c r="F316" t="s">
        <v>40</v>
      </c>
      <c r="G316">
        <v>7</v>
      </c>
      <c r="H316">
        <v>154089.25</v>
      </c>
      <c r="I316">
        <v>0.15</v>
      </c>
      <c r="J316">
        <v>1078624.75</v>
      </c>
      <c r="K316">
        <v>161793.71</v>
      </c>
      <c r="L316">
        <v>7.4999999999999997E-2</v>
      </c>
      <c r="M316">
        <v>68762.33</v>
      </c>
      <c r="N316">
        <v>985593.37</v>
      </c>
      <c r="O316" t="s">
        <v>20</v>
      </c>
    </row>
    <row r="317" spans="1:15" x14ac:dyDescent="0.35">
      <c r="A317" t="s">
        <v>370</v>
      </c>
      <c r="B317" s="2">
        <v>46249</v>
      </c>
      <c r="C317" t="s">
        <v>42</v>
      </c>
      <c r="D317" t="s">
        <v>43</v>
      </c>
      <c r="E317" t="s">
        <v>44</v>
      </c>
      <c r="F317" t="s">
        <v>45</v>
      </c>
      <c r="G317">
        <v>6</v>
      </c>
      <c r="H317">
        <v>86288.960000000006</v>
      </c>
      <c r="I317">
        <v>0</v>
      </c>
      <c r="J317">
        <v>517733.76</v>
      </c>
      <c r="K317">
        <v>0</v>
      </c>
      <c r="L317">
        <v>7.4999999999999997E-2</v>
      </c>
      <c r="M317">
        <v>38830.03</v>
      </c>
      <c r="N317">
        <v>556563.79</v>
      </c>
      <c r="O317" t="s">
        <v>35</v>
      </c>
    </row>
    <row r="318" spans="1:15" x14ac:dyDescent="0.35">
      <c r="A318" t="s">
        <v>371</v>
      </c>
      <c r="B318" s="2">
        <v>46118</v>
      </c>
      <c r="C318" t="s">
        <v>47</v>
      </c>
      <c r="D318" t="s">
        <v>48</v>
      </c>
      <c r="E318" t="s">
        <v>49</v>
      </c>
      <c r="F318" t="s">
        <v>50</v>
      </c>
      <c r="G318">
        <v>2</v>
      </c>
      <c r="H318">
        <v>128355.87</v>
      </c>
      <c r="I318">
        <v>0.15</v>
      </c>
      <c r="J318">
        <v>256711.74</v>
      </c>
      <c r="K318">
        <v>38506.76</v>
      </c>
      <c r="L318">
        <v>0.1</v>
      </c>
      <c r="M318">
        <v>21820.5</v>
      </c>
      <c r="N318">
        <v>240025.48</v>
      </c>
      <c r="O318" t="s">
        <v>20</v>
      </c>
    </row>
    <row r="319" spans="1:15" x14ac:dyDescent="0.35">
      <c r="A319" t="s">
        <v>372</v>
      </c>
      <c r="B319" s="2">
        <v>46229</v>
      </c>
      <c r="C319" t="s">
        <v>52</v>
      </c>
      <c r="D319" t="s">
        <v>53</v>
      </c>
      <c r="E319" t="s">
        <v>54</v>
      </c>
      <c r="F319" t="s">
        <v>50</v>
      </c>
      <c r="G319">
        <v>6</v>
      </c>
      <c r="H319">
        <v>101796.13</v>
      </c>
      <c r="I319">
        <v>0.1</v>
      </c>
      <c r="J319">
        <v>610776.78</v>
      </c>
      <c r="K319">
        <v>61077.68</v>
      </c>
      <c r="L319">
        <v>7.4999999999999997E-2</v>
      </c>
      <c r="M319">
        <v>41227.43</v>
      </c>
      <c r="N319">
        <v>590926.53</v>
      </c>
      <c r="O319" t="s">
        <v>25</v>
      </c>
    </row>
    <row r="320" spans="1:15" x14ac:dyDescent="0.35">
      <c r="A320" t="s">
        <v>373</v>
      </c>
      <c r="B320" s="2">
        <v>46153</v>
      </c>
      <c r="C320" t="s">
        <v>56</v>
      </c>
      <c r="D320" t="s">
        <v>57</v>
      </c>
      <c r="E320" t="s">
        <v>58</v>
      </c>
      <c r="F320" t="s">
        <v>19</v>
      </c>
      <c r="G320">
        <v>4</v>
      </c>
      <c r="H320">
        <v>25389.9</v>
      </c>
      <c r="I320">
        <v>0.05</v>
      </c>
      <c r="J320">
        <v>101559.6</v>
      </c>
      <c r="K320">
        <v>5077.9799999999996</v>
      </c>
      <c r="L320">
        <v>0.1</v>
      </c>
      <c r="M320">
        <v>9648.16</v>
      </c>
      <c r="N320">
        <v>106129.78</v>
      </c>
      <c r="O320" t="s">
        <v>20</v>
      </c>
    </row>
    <row r="321" spans="1:15" x14ac:dyDescent="0.35">
      <c r="A321" t="s">
        <v>374</v>
      </c>
      <c r="B321" s="2">
        <v>46236</v>
      </c>
      <c r="C321" t="s">
        <v>60</v>
      </c>
      <c r="D321" t="s">
        <v>61</v>
      </c>
      <c r="E321" t="s">
        <v>62</v>
      </c>
      <c r="F321" t="s">
        <v>19</v>
      </c>
      <c r="G321">
        <v>1</v>
      </c>
      <c r="H321">
        <v>208172.78</v>
      </c>
      <c r="I321">
        <v>0.05</v>
      </c>
      <c r="J321">
        <v>208172.78</v>
      </c>
      <c r="K321">
        <v>10408.64</v>
      </c>
      <c r="L321">
        <v>7.4999999999999997E-2</v>
      </c>
      <c r="M321">
        <v>14832.31</v>
      </c>
      <c r="N321">
        <v>212596.45</v>
      </c>
      <c r="O321" t="s">
        <v>35</v>
      </c>
    </row>
    <row r="322" spans="1:15" x14ac:dyDescent="0.35">
      <c r="A322" t="s">
        <v>375</v>
      </c>
      <c r="B322" s="2">
        <v>46148</v>
      </c>
      <c r="C322" t="s">
        <v>16</v>
      </c>
      <c r="D322" t="s">
        <v>17</v>
      </c>
      <c r="E322" t="s">
        <v>18</v>
      </c>
      <c r="F322" t="s">
        <v>19</v>
      </c>
      <c r="G322">
        <v>7</v>
      </c>
      <c r="H322">
        <v>665630.6</v>
      </c>
      <c r="I322">
        <v>0</v>
      </c>
      <c r="J322">
        <v>4659414.2</v>
      </c>
      <c r="K322">
        <v>0</v>
      </c>
      <c r="L322">
        <v>7.4999999999999997E-2</v>
      </c>
      <c r="M322">
        <v>349456.06</v>
      </c>
      <c r="N322">
        <v>5008870.26</v>
      </c>
      <c r="O322" t="s">
        <v>35</v>
      </c>
    </row>
    <row r="323" spans="1:15" x14ac:dyDescent="0.35">
      <c r="A323" t="s">
        <v>376</v>
      </c>
      <c r="B323" s="2">
        <v>46145</v>
      </c>
      <c r="C323" t="s">
        <v>22</v>
      </c>
      <c r="D323" t="s">
        <v>23</v>
      </c>
      <c r="E323" t="s">
        <v>24</v>
      </c>
      <c r="F323" t="s">
        <v>19</v>
      </c>
      <c r="G323">
        <v>6</v>
      </c>
      <c r="H323">
        <v>17530.259999999998</v>
      </c>
      <c r="I323">
        <v>0.15</v>
      </c>
      <c r="J323">
        <v>105181.56</v>
      </c>
      <c r="K323">
        <v>15777.23</v>
      </c>
      <c r="L323">
        <v>7.4999999999999997E-2</v>
      </c>
      <c r="M323">
        <v>6705.32</v>
      </c>
      <c r="N323">
        <v>96109.65</v>
      </c>
      <c r="O323" t="s">
        <v>35</v>
      </c>
    </row>
    <row r="324" spans="1:15" x14ac:dyDescent="0.35">
      <c r="A324" t="s">
        <v>377</v>
      </c>
      <c r="B324" s="2">
        <v>46237</v>
      </c>
      <c r="C324" t="s">
        <v>27</v>
      </c>
      <c r="D324" t="s">
        <v>28</v>
      </c>
      <c r="E324" t="s">
        <v>29</v>
      </c>
      <c r="F324" t="s">
        <v>30</v>
      </c>
      <c r="G324">
        <v>3</v>
      </c>
      <c r="H324">
        <v>89857.42</v>
      </c>
      <c r="I324">
        <v>0.05</v>
      </c>
      <c r="J324">
        <v>269572.26</v>
      </c>
      <c r="K324">
        <v>13478.61</v>
      </c>
      <c r="L324">
        <v>0.1</v>
      </c>
      <c r="M324">
        <v>25609.37</v>
      </c>
      <c r="N324">
        <v>281703.02</v>
      </c>
      <c r="O324" t="s">
        <v>35</v>
      </c>
    </row>
    <row r="325" spans="1:15" x14ac:dyDescent="0.35">
      <c r="A325" t="s">
        <v>378</v>
      </c>
      <c r="B325" s="2">
        <v>46061</v>
      </c>
      <c r="C325" t="s">
        <v>32</v>
      </c>
      <c r="D325" t="s">
        <v>33</v>
      </c>
      <c r="E325" t="s">
        <v>34</v>
      </c>
      <c r="F325" t="s">
        <v>30</v>
      </c>
      <c r="G325">
        <v>1</v>
      </c>
      <c r="H325">
        <v>11987.09</v>
      </c>
      <c r="I325">
        <v>0.15</v>
      </c>
      <c r="J325">
        <v>11987.09</v>
      </c>
      <c r="K325">
        <v>1798.06</v>
      </c>
      <c r="L325">
        <v>0.1</v>
      </c>
      <c r="M325">
        <v>1018.9</v>
      </c>
      <c r="N325">
        <v>11207.93</v>
      </c>
      <c r="O325" t="s">
        <v>35</v>
      </c>
    </row>
    <row r="326" spans="1:15" x14ac:dyDescent="0.35">
      <c r="A326" t="s">
        <v>379</v>
      </c>
      <c r="B326" s="2">
        <v>46102</v>
      </c>
      <c r="C326" t="s">
        <v>37</v>
      </c>
      <c r="D326" t="s">
        <v>38</v>
      </c>
      <c r="E326" t="s">
        <v>39</v>
      </c>
      <c r="F326" t="s">
        <v>40</v>
      </c>
      <c r="G326">
        <v>6</v>
      </c>
      <c r="H326">
        <v>138735.66</v>
      </c>
      <c r="I326">
        <v>0</v>
      </c>
      <c r="J326">
        <v>832413.96</v>
      </c>
      <c r="K326">
        <v>0</v>
      </c>
      <c r="L326">
        <v>7.4999999999999997E-2</v>
      </c>
      <c r="M326">
        <v>62431.05</v>
      </c>
      <c r="N326">
        <v>894845.01</v>
      </c>
      <c r="O326" t="s">
        <v>35</v>
      </c>
    </row>
    <row r="327" spans="1:15" x14ac:dyDescent="0.35">
      <c r="A327" t="s">
        <v>380</v>
      </c>
      <c r="B327" s="2">
        <v>46174</v>
      </c>
      <c r="C327" t="s">
        <v>42</v>
      </c>
      <c r="D327" t="s">
        <v>43</v>
      </c>
      <c r="E327" t="s">
        <v>44</v>
      </c>
      <c r="F327" t="s">
        <v>45</v>
      </c>
      <c r="G327">
        <v>5</v>
      </c>
      <c r="H327">
        <v>88089.5</v>
      </c>
      <c r="I327">
        <v>0</v>
      </c>
      <c r="J327">
        <v>440447.5</v>
      </c>
      <c r="K327">
        <v>0</v>
      </c>
      <c r="L327">
        <v>0.1</v>
      </c>
      <c r="M327">
        <v>44044.75</v>
      </c>
      <c r="N327">
        <v>484492.25</v>
      </c>
      <c r="O327" t="s">
        <v>20</v>
      </c>
    </row>
    <row r="328" spans="1:15" x14ac:dyDescent="0.35">
      <c r="A328" t="s">
        <v>381</v>
      </c>
      <c r="B328" s="2">
        <v>46178</v>
      </c>
      <c r="C328" t="s">
        <v>47</v>
      </c>
      <c r="D328" t="s">
        <v>48</v>
      </c>
      <c r="E328" t="s">
        <v>49</v>
      </c>
      <c r="F328" t="s">
        <v>50</v>
      </c>
      <c r="G328">
        <v>4</v>
      </c>
      <c r="H328">
        <v>117523.94</v>
      </c>
      <c r="I328">
        <v>0.15</v>
      </c>
      <c r="J328">
        <v>470095.76</v>
      </c>
      <c r="K328">
        <v>70514.36</v>
      </c>
      <c r="L328">
        <v>0.1</v>
      </c>
      <c r="M328">
        <v>39958.14</v>
      </c>
      <c r="N328">
        <v>439539.54</v>
      </c>
      <c r="O328" t="s">
        <v>35</v>
      </c>
    </row>
    <row r="329" spans="1:15" x14ac:dyDescent="0.35">
      <c r="A329" t="s">
        <v>382</v>
      </c>
      <c r="B329" s="2">
        <v>46143</v>
      </c>
      <c r="C329" t="s">
        <v>52</v>
      </c>
      <c r="D329" t="s">
        <v>53</v>
      </c>
      <c r="E329" t="s">
        <v>54</v>
      </c>
      <c r="F329" t="s">
        <v>50</v>
      </c>
      <c r="G329">
        <v>3</v>
      </c>
      <c r="H329">
        <v>101258.81</v>
      </c>
      <c r="I329">
        <v>0.15</v>
      </c>
      <c r="J329">
        <v>303776.43</v>
      </c>
      <c r="K329">
        <v>45566.46</v>
      </c>
      <c r="L329">
        <v>0.1</v>
      </c>
      <c r="M329">
        <v>25821</v>
      </c>
      <c r="N329">
        <v>284030.96999999997</v>
      </c>
      <c r="O329" t="s">
        <v>35</v>
      </c>
    </row>
    <row r="330" spans="1:15" x14ac:dyDescent="0.35">
      <c r="A330" t="s">
        <v>383</v>
      </c>
      <c r="B330" s="2">
        <v>46032</v>
      </c>
      <c r="C330" t="s">
        <v>56</v>
      </c>
      <c r="D330" t="s">
        <v>57</v>
      </c>
      <c r="E330" t="s">
        <v>58</v>
      </c>
      <c r="F330" t="s">
        <v>19</v>
      </c>
      <c r="G330">
        <v>4</v>
      </c>
      <c r="H330">
        <v>26493.69</v>
      </c>
      <c r="I330">
        <v>0.05</v>
      </c>
      <c r="J330">
        <v>105974.76</v>
      </c>
      <c r="K330">
        <v>5298.74</v>
      </c>
      <c r="L330">
        <v>0.1</v>
      </c>
      <c r="M330">
        <v>10067.6</v>
      </c>
      <c r="N330">
        <v>110743.62</v>
      </c>
      <c r="O330" t="s">
        <v>20</v>
      </c>
    </row>
    <row r="331" spans="1:15" x14ac:dyDescent="0.35">
      <c r="A331" t="s">
        <v>384</v>
      </c>
      <c r="B331" s="2">
        <v>46038</v>
      </c>
      <c r="C331" t="s">
        <v>60</v>
      </c>
      <c r="D331" t="s">
        <v>61</v>
      </c>
      <c r="E331" t="s">
        <v>62</v>
      </c>
      <c r="F331" t="s">
        <v>19</v>
      </c>
      <c r="G331">
        <v>3</v>
      </c>
      <c r="H331">
        <v>223250.73</v>
      </c>
      <c r="I331">
        <v>0.05</v>
      </c>
      <c r="J331">
        <v>669752.18999999994</v>
      </c>
      <c r="K331">
        <v>33487.61</v>
      </c>
      <c r="L331">
        <v>7.4999999999999997E-2</v>
      </c>
      <c r="M331">
        <v>47719.839999999997</v>
      </c>
      <c r="N331">
        <v>683984.42</v>
      </c>
      <c r="O331" t="s">
        <v>35</v>
      </c>
    </row>
    <row r="332" spans="1:15" x14ac:dyDescent="0.35">
      <c r="A332" t="s">
        <v>385</v>
      </c>
      <c r="B332" s="2">
        <v>46125</v>
      </c>
      <c r="C332" t="s">
        <v>16</v>
      </c>
      <c r="D332" t="s">
        <v>17</v>
      </c>
      <c r="E332" t="s">
        <v>18</v>
      </c>
      <c r="F332" t="s">
        <v>19</v>
      </c>
      <c r="G332">
        <v>2</v>
      </c>
      <c r="H332">
        <v>663682.26</v>
      </c>
      <c r="I332">
        <v>0.1</v>
      </c>
      <c r="J332">
        <v>1327364.52</v>
      </c>
      <c r="K332">
        <v>132736.45000000001</v>
      </c>
      <c r="L332">
        <v>7.4999999999999997E-2</v>
      </c>
      <c r="M332">
        <v>89597.11</v>
      </c>
      <c r="N332">
        <v>1284225.18</v>
      </c>
      <c r="O332" t="s">
        <v>20</v>
      </c>
    </row>
    <row r="333" spans="1:15" x14ac:dyDescent="0.35">
      <c r="A333" t="s">
        <v>386</v>
      </c>
      <c r="B333" s="2">
        <v>46198</v>
      </c>
      <c r="C333" t="s">
        <v>22</v>
      </c>
      <c r="D333" t="s">
        <v>23</v>
      </c>
      <c r="E333" t="s">
        <v>24</v>
      </c>
      <c r="F333" t="s">
        <v>19</v>
      </c>
      <c r="G333">
        <v>4</v>
      </c>
      <c r="H333">
        <v>19178.009999999998</v>
      </c>
      <c r="I333">
        <v>0.1</v>
      </c>
      <c r="J333">
        <v>76712.039999999994</v>
      </c>
      <c r="K333">
        <v>7671.2</v>
      </c>
      <c r="L333">
        <v>0.1</v>
      </c>
      <c r="M333">
        <v>6904.08</v>
      </c>
      <c r="N333">
        <v>75944.92</v>
      </c>
      <c r="O333" t="s">
        <v>35</v>
      </c>
    </row>
    <row r="334" spans="1:15" x14ac:dyDescent="0.35">
      <c r="A334" t="s">
        <v>387</v>
      </c>
      <c r="B334" s="2">
        <v>46263</v>
      </c>
      <c r="C334" t="s">
        <v>27</v>
      </c>
      <c r="D334" t="s">
        <v>28</v>
      </c>
      <c r="E334" t="s">
        <v>29</v>
      </c>
      <c r="F334" t="s">
        <v>30</v>
      </c>
      <c r="G334">
        <v>2</v>
      </c>
      <c r="H334">
        <v>90150.85</v>
      </c>
      <c r="I334">
        <v>0</v>
      </c>
      <c r="J334">
        <v>180301.7</v>
      </c>
      <c r="K334">
        <v>0</v>
      </c>
      <c r="L334">
        <v>0.1</v>
      </c>
      <c r="M334">
        <v>18030.169999999998</v>
      </c>
      <c r="N334">
        <v>198331.87</v>
      </c>
      <c r="O334" t="s">
        <v>35</v>
      </c>
    </row>
    <row r="335" spans="1:15" x14ac:dyDescent="0.35">
      <c r="A335" t="s">
        <v>388</v>
      </c>
      <c r="B335" s="2">
        <v>46257</v>
      </c>
      <c r="C335" t="s">
        <v>32</v>
      </c>
      <c r="D335" t="s">
        <v>33</v>
      </c>
      <c r="E335" t="s">
        <v>34</v>
      </c>
      <c r="F335" t="s">
        <v>30</v>
      </c>
      <c r="G335">
        <v>6</v>
      </c>
      <c r="H335">
        <v>12711.84</v>
      </c>
      <c r="I335">
        <v>0.1</v>
      </c>
      <c r="J335">
        <v>76271.039999999994</v>
      </c>
      <c r="K335">
        <v>7627.1</v>
      </c>
      <c r="L335">
        <v>0.1</v>
      </c>
      <c r="M335">
        <v>6864.39</v>
      </c>
      <c r="N335">
        <v>75508.33</v>
      </c>
      <c r="O335" t="s">
        <v>35</v>
      </c>
    </row>
    <row r="336" spans="1:15" x14ac:dyDescent="0.35">
      <c r="A336" t="s">
        <v>389</v>
      </c>
      <c r="B336" s="2">
        <v>46115</v>
      </c>
      <c r="C336" t="s">
        <v>37</v>
      </c>
      <c r="D336" t="s">
        <v>38</v>
      </c>
      <c r="E336" t="s">
        <v>39</v>
      </c>
      <c r="F336" t="s">
        <v>40</v>
      </c>
      <c r="G336">
        <v>2</v>
      </c>
      <c r="H336">
        <v>140286.28</v>
      </c>
      <c r="I336">
        <v>0</v>
      </c>
      <c r="J336">
        <v>280572.56</v>
      </c>
      <c r="K336">
        <v>0</v>
      </c>
      <c r="L336">
        <v>7.4999999999999997E-2</v>
      </c>
      <c r="M336">
        <v>21042.94</v>
      </c>
      <c r="N336">
        <v>301615.5</v>
      </c>
      <c r="O336" t="s">
        <v>25</v>
      </c>
    </row>
    <row r="337" spans="1:15" x14ac:dyDescent="0.35">
      <c r="A337" t="s">
        <v>390</v>
      </c>
      <c r="B337" s="2">
        <v>46219</v>
      </c>
      <c r="C337" t="s">
        <v>42</v>
      </c>
      <c r="D337" t="s">
        <v>43</v>
      </c>
      <c r="E337" t="s">
        <v>44</v>
      </c>
      <c r="F337" t="s">
        <v>45</v>
      </c>
      <c r="G337">
        <v>2</v>
      </c>
      <c r="H337">
        <v>89868.61</v>
      </c>
      <c r="I337">
        <v>0</v>
      </c>
      <c r="J337">
        <v>179737.22</v>
      </c>
      <c r="K337">
        <v>0</v>
      </c>
      <c r="L337">
        <v>7.4999999999999997E-2</v>
      </c>
      <c r="M337">
        <v>13480.29</v>
      </c>
      <c r="N337">
        <v>193217.51</v>
      </c>
      <c r="O337" t="s">
        <v>20</v>
      </c>
    </row>
    <row r="338" spans="1:15" x14ac:dyDescent="0.35">
      <c r="A338" t="s">
        <v>391</v>
      </c>
      <c r="B338" s="2">
        <v>46165</v>
      </c>
      <c r="C338" t="s">
        <v>47</v>
      </c>
      <c r="D338" t="s">
        <v>48</v>
      </c>
      <c r="E338" t="s">
        <v>49</v>
      </c>
      <c r="F338" t="s">
        <v>50</v>
      </c>
      <c r="G338">
        <v>4</v>
      </c>
      <c r="H338">
        <v>129020.56</v>
      </c>
      <c r="I338">
        <v>0.1</v>
      </c>
      <c r="J338">
        <v>516082.24</v>
      </c>
      <c r="K338">
        <v>51608.22</v>
      </c>
      <c r="L338">
        <v>7.4999999999999997E-2</v>
      </c>
      <c r="M338">
        <v>34835.550000000003</v>
      </c>
      <c r="N338">
        <v>499309.57</v>
      </c>
      <c r="O338" t="s">
        <v>25</v>
      </c>
    </row>
    <row r="339" spans="1:15" x14ac:dyDescent="0.35">
      <c r="A339" t="s">
        <v>392</v>
      </c>
      <c r="B339" s="2">
        <v>46036</v>
      </c>
      <c r="C339" t="s">
        <v>52</v>
      </c>
      <c r="D339" t="s">
        <v>53</v>
      </c>
      <c r="E339" t="s">
        <v>54</v>
      </c>
      <c r="F339" t="s">
        <v>50</v>
      </c>
      <c r="G339">
        <v>6</v>
      </c>
      <c r="H339">
        <v>94716.13</v>
      </c>
      <c r="I339">
        <v>0.05</v>
      </c>
      <c r="J339">
        <v>568296.78</v>
      </c>
      <c r="K339">
        <v>28414.84</v>
      </c>
      <c r="L339">
        <v>7.4999999999999997E-2</v>
      </c>
      <c r="M339">
        <v>40491.15</v>
      </c>
      <c r="N339">
        <v>580373.09</v>
      </c>
      <c r="O339" t="s">
        <v>20</v>
      </c>
    </row>
    <row r="340" spans="1:15" x14ac:dyDescent="0.35">
      <c r="A340" t="s">
        <v>393</v>
      </c>
      <c r="B340" s="2">
        <v>46197</v>
      </c>
      <c r="C340" t="s">
        <v>56</v>
      </c>
      <c r="D340" t="s">
        <v>57</v>
      </c>
      <c r="E340" t="s">
        <v>58</v>
      </c>
      <c r="F340" t="s">
        <v>19</v>
      </c>
      <c r="G340">
        <v>1</v>
      </c>
      <c r="H340">
        <v>24723.55</v>
      </c>
      <c r="I340">
        <v>0.15</v>
      </c>
      <c r="J340">
        <v>24723.55</v>
      </c>
      <c r="K340">
        <v>3708.53</v>
      </c>
      <c r="L340">
        <v>0.1</v>
      </c>
      <c r="M340">
        <v>2101.5</v>
      </c>
      <c r="N340">
        <v>23116.52</v>
      </c>
      <c r="O340" t="s">
        <v>25</v>
      </c>
    </row>
    <row r="341" spans="1:15" x14ac:dyDescent="0.35">
      <c r="A341" t="s">
        <v>394</v>
      </c>
      <c r="B341" s="2">
        <v>46147</v>
      </c>
      <c r="C341" t="s">
        <v>60</v>
      </c>
      <c r="D341" t="s">
        <v>61</v>
      </c>
      <c r="E341" t="s">
        <v>62</v>
      </c>
      <c r="F341" t="s">
        <v>19</v>
      </c>
      <c r="G341">
        <v>1</v>
      </c>
      <c r="H341">
        <v>208279.88</v>
      </c>
      <c r="I341">
        <v>0.15</v>
      </c>
      <c r="J341">
        <v>208279.88</v>
      </c>
      <c r="K341">
        <v>31241.98</v>
      </c>
      <c r="L341">
        <v>0.1</v>
      </c>
      <c r="M341">
        <v>17703.79</v>
      </c>
      <c r="N341">
        <v>194741.69</v>
      </c>
      <c r="O341" t="s">
        <v>20</v>
      </c>
    </row>
    <row r="342" spans="1:15" x14ac:dyDescent="0.35">
      <c r="A342" t="s">
        <v>395</v>
      </c>
      <c r="B342" s="2">
        <v>46146</v>
      </c>
      <c r="C342" t="s">
        <v>16</v>
      </c>
      <c r="D342" t="s">
        <v>17</v>
      </c>
      <c r="E342" t="s">
        <v>18</v>
      </c>
      <c r="F342" t="s">
        <v>19</v>
      </c>
      <c r="G342">
        <v>7</v>
      </c>
      <c r="H342">
        <v>667035.67000000004</v>
      </c>
      <c r="I342">
        <v>0</v>
      </c>
      <c r="J342">
        <v>4669249.6900000004</v>
      </c>
      <c r="K342">
        <v>0</v>
      </c>
      <c r="L342">
        <v>7.4999999999999997E-2</v>
      </c>
      <c r="M342">
        <v>350193.73</v>
      </c>
      <c r="N342">
        <v>5019443.42</v>
      </c>
      <c r="O342" t="s">
        <v>20</v>
      </c>
    </row>
    <row r="343" spans="1:15" x14ac:dyDescent="0.35">
      <c r="A343" t="s">
        <v>396</v>
      </c>
      <c r="B343" s="2">
        <v>46215</v>
      </c>
      <c r="C343" t="s">
        <v>22</v>
      </c>
      <c r="D343" t="s">
        <v>23</v>
      </c>
      <c r="E343" t="s">
        <v>24</v>
      </c>
      <c r="F343" t="s">
        <v>19</v>
      </c>
      <c r="G343">
        <v>4</v>
      </c>
      <c r="H343">
        <v>19048.939999999999</v>
      </c>
      <c r="I343">
        <v>0.05</v>
      </c>
      <c r="J343">
        <v>76195.759999999995</v>
      </c>
      <c r="K343">
        <v>3809.79</v>
      </c>
      <c r="L343">
        <v>0.1</v>
      </c>
      <c r="M343">
        <v>7238.6</v>
      </c>
      <c r="N343">
        <v>79624.570000000007</v>
      </c>
      <c r="O343" t="s">
        <v>35</v>
      </c>
    </row>
    <row r="344" spans="1:15" x14ac:dyDescent="0.35">
      <c r="A344" t="s">
        <v>397</v>
      </c>
      <c r="B344" s="2">
        <v>46046</v>
      </c>
      <c r="C344" t="s">
        <v>27</v>
      </c>
      <c r="D344" t="s">
        <v>28</v>
      </c>
      <c r="E344" t="s">
        <v>29</v>
      </c>
      <c r="F344" t="s">
        <v>30</v>
      </c>
      <c r="G344">
        <v>6</v>
      </c>
      <c r="H344">
        <v>88267.72</v>
      </c>
      <c r="I344">
        <v>0.1</v>
      </c>
      <c r="J344">
        <v>529606.31999999995</v>
      </c>
      <c r="K344">
        <v>52960.63</v>
      </c>
      <c r="L344">
        <v>7.4999999999999997E-2</v>
      </c>
      <c r="M344">
        <v>35748.43</v>
      </c>
      <c r="N344">
        <v>512394.12</v>
      </c>
      <c r="O344" t="s">
        <v>35</v>
      </c>
    </row>
    <row r="345" spans="1:15" x14ac:dyDescent="0.35">
      <c r="A345" t="s">
        <v>398</v>
      </c>
      <c r="B345" s="2">
        <v>46085</v>
      </c>
      <c r="C345" t="s">
        <v>32</v>
      </c>
      <c r="D345" t="s">
        <v>33</v>
      </c>
      <c r="E345" t="s">
        <v>34</v>
      </c>
      <c r="F345" t="s">
        <v>30</v>
      </c>
      <c r="G345">
        <v>1</v>
      </c>
      <c r="H345">
        <v>11274.45</v>
      </c>
      <c r="I345">
        <v>0.05</v>
      </c>
      <c r="J345">
        <v>11274.45</v>
      </c>
      <c r="K345">
        <v>563.72</v>
      </c>
      <c r="L345">
        <v>7.4999999999999997E-2</v>
      </c>
      <c r="M345">
        <v>803.3</v>
      </c>
      <c r="N345">
        <v>11514.03</v>
      </c>
      <c r="O345" t="s">
        <v>35</v>
      </c>
    </row>
    <row r="346" spans="1:15" x14ac:dyDescent="0.35">
      <c r="A346" t="s">
        <v>399</v>
      </c>
      <c r="B346" s="2">
        <v>46046</v>
      </c>
      <c r="C346" t="s">
        <v>37</v>
      </c>
      <c r="D346" t="s">
        <v>38</v>
      </c>
      <c r="E346" t="s">
        <v>39</v>
      </c>
      <c r="F346" t="s">
        <v>40</v>
      </c>
      <c r="G346">
        <v>1</v>
      </c>
      <c r="H346">
        <v>152032.1</v>
      </c>
      <c r="I346">
        <v>0.35</v>
      </c>
      <c r="J346">
        <v>152032.1</v>
      </c>
      <c r="K346">
        <v>22804.82</v>
      </c>
      <c r="L346">
        <v>0.1</v>
      </c>
      <c r="M346">
        <v>12922.73</v>
      </c>
      <c r="N346">
        <v>142150.01</v>
      </c>
      <c r="O346" t="s">
        <v>25</v>
      </c>
    </row>
    <row r="347" spans="1:15" x14ac:dyDescent="0.35">
      <c r="A347" t="s">
        <v>400</v>
      </c>
      <c r="B347" s="2">
        <v>46076</v>
      </c>
      <c r="C347" t="s">
        <v>42</v>
      </c>
      <c r="D347" t="s">
        <v>43</v>
      </c>
      <c r="E347" t="s">
        <v>44</v>
      </c>
      <c r="F347" t="s">
        <v>45</v>
      </c>
      <c r="G347">
        <v>3</v>
      </c>
      <c r="H347">
        <v>78267.179999999993</v>
      </c>
      <c r="I347">
        <v>0.05</v>
      </c>
      <c r="J347">
        <v>234801.54</v>
      </c>
      <c r="K347">
        <v>11740.08</v>
      </c>
      <c r="L347">
        <v>7.4999999999999997E-2</v>
      </c>
      <c r="M347">
        <v>16729.61</v>
      </c>
      <c r="N347">
        <v>239791.07</v>
      </c>
      <c r="O347" t="s">
        <v>25</v>
      </c>
    </row>
    <row r="348" spans="1:15" x14ac:dyDescent="0.35">
      <c r="A348" t="s">
        <v>401</v>
      </c>
      <c r="B348" s="2">
        <v>46204</v>
      </c>
      <c r="C348" t="s">
        <v>47</v>
      </c>
      <c r="D348" t="s">
        <v>48</v>
      </c>
      <c r="E348" t="s">
        <v>49</v>
      </c>
      <c r="F348" t="s">
        <v>50</v>
      </c>
      <c r="G348">
        <v>7</v>
      </c>
      <c r="H348">
        <v>119131.01</v>
      </c>
      <c r="I348">
        <v>0.1</v>
      </c>
      <c r="J348">
        <v>833917.07</v>
      </c>
      <c r="K348">
        <v>83391.710000000006</v>
      </c>
      <c r="L348">
        <v>7.4999999999999997E-2</v>
      </c>
      <c r="M348">
        <v>56289.4</v>
      </c>
      <c r="N348">
        <v>806814.76</v>
      </c>
      <c r="O348" t="s">
        <v>35</v>
      </c>
    </row>
    <row r="349" spans="1:15" x14ac:dyDescent="0.35">
      <c r="A349" t="s">
        <v>402</v>
      </c>
      <c r="B349" s="2">
        <v>46071</v>
      </c>
      <c r="C349" t="s">
        <v>52</v>
      </c>
      <c r="D349" t="s">
        <v>53</v>
      </c>
      <c r="E349" t="s">
        <v>54</v>
      </c>
      <c r="F349" t="s">
        <v>50</v>
      </c>
      <c r="G349">
        <v>6</v>
      </c>
      <c r="H349">
        <v>94234.42</v>
      </c>
      <c r="I349">
        <v>0.15</v>
      </c>
      <c r="J349">
        <v>565406.52</v>
      </c>
      <c r="K349">
        <v>84810.98</v>
      </c>
      <c r="L349">
        <v>0.1</v>
      </c>
      <c r="M349">
        <v>48059.55</v>
      </c>
      <c r="N349">
        <v>528655.09</v>
      </c>
      <c r="O349" t="s">
        <v>35</v>
      </c>
    </row>
    <row r="350" spans="1:15" x14ac:dyDescent="0.35">
      <c r="A350" t="s">
        <v>403</v>
      </c>
      <c r="B350" s="2">
        <v>46111</v>
      </c>
      <c r="C350" t="s">
        <v>56</v>
      </c>
      <c r="D350" t="s">
        <v>57</v>
      </c>
      <c r="E350" t="s">
        <v>58</v>
      </c>
      <c r="F350" t="s">
        <v>19</v>
      </c>
      <c r="G350">
        <v>2</v>
      </c>
      <c r="H350">
        <v>23807.41</v>
      </c>
      <c r="I350">
        <v>0.1</v>
      </c>
      <c r="J350">
        <v>47614.82</v>
      </c>
      <c r="K350">
        <v>4761.4799999999996</v>
      </c>
      <c r="L350">
        <v>0.1</v>
      </c>
      <c r="M350">
        <v>4285.33</v>
      </c>
      <c r="N350">
        <v>47138.67</v>
      </c>
      <c r="O350" t="s">
        <v>35</v>
      </c>
    </row>
    <row r="351" spans="1:15" x14ac:dyDescent="0.35">
      <c r="A351" t="s">
        <v>404</v>
      </c>
      <c r="B351" s="2">
        <v>46112</v>
      </c>
      <c r="C351" t="s">
        <v>60</v>
      </c>
      <c r="D351" t="s">
        <v>61</v>
      </c>
      <c r="E351" t="s">
        <v>62</v>
      </c>
      <c r="F351" t="s">
        <v>19</v>
      </c>
      <c r="G351">
        <v>5</v>
      </c>
      <c r="H351">
        <v>218020.01</v>
      </c>
      <c r="I351">
        <v>0</v>
      </c>
      <c r="J351">
        <v>1090100.05</v>
      </c>
      <c r="K351">
        <v>0</v>
      </c>
      <c r="L351">
        <v>7.4999999999999997E-2</v>
      </c>
      <c r="M351">
        <v>81757.5</v>
      </c>
      <c r="N351">
        <v>1171857.55</v>
      </c>
      <c r="O351" t="s">
        <v>35</v>
      </c>
    </row>
    <row r="352" spans="1:15" x14ac:dyDescent="0.35">
      <c r="A352" t="s">
        <v>405</v>
      </c>
      <c r="B352" s="2">
        <v>46228</v>
      </c>
      <c r="C352" t="s">
        <v>16</v>
      </c>
      <c r="D352" t="s">
        <v>17</v>
      </c>
      <c r="E352" t="s">
        <v>18</v>
      </c>
      <c r="F352" t="s">
        <v>19</v>
      </c>
      <c r="G352">
        <v>1</v>
      </c>
      <c r="H352">
        <v>685163.99</v>
      </c>
      <c r="I352">
        <v>0.05</v>
      </c>
      <c r="J352">
        <v>685163.99</v>
      </c>
      <c r="K352">
        <v>34258.199999999997</v>
      </c>
      <c r="L352">
        <v>7.4999999999999997E-2</v>
      </c>
      <c r="M352">
        <v>48817.93</v>
      </c>
      <c r="N352">
        <v>699723.72</v>
      </c>
      <c r="O352" t="s">
        <v>35</v>
      </c>
    </row>
    <row r="353" spans="1:15" x14ac:dyDescent="0.35">
      <c r="A353" t="s">
        <v>406</v>
      </c>
      <c r="B353" s="2">
        <v>46258</v>
      </c>
      <c r="C353" t="s">
        <v>22</v>
      </c>
      <c r="D353" t="s">
        <v>23</v>
      </c>
      <c r="E353" t="s">
        <v>24</v>
      </c>
      <c r="F353" t="s">
        <v>19</v>
      </c>
      <c r="G353">
        <v>2</v>
      </c>
      <c r="H353">
        <v>18339.400000000001</v>
      </c>
      <c r="I353">
        <v>0.15</v>
      </c>
      <c r="J353">
        <v>36678.800000000003</v>
      </c>
      <c r="K353">
        <v>5501.82</v>
      </c>
      <c r="L353">
        <v>7.4999999999999997E-2</v>
      </c>
      <c r="M353">
        <v>2338.27</v>
      </c>
      <c r="N353">
        <v>33515.25</v>
      </c>
      <c r="O353" t="s">
        <v>20</v>
      </c>
    </row>
    <row r="354" spans="1:15" x14ac:dyDescent="0.35">
      <c r="A354" t="s">
        <v>407</v>
      </c>
      <c r="B354" s="2">
        <v>46059</v>
      </c>
      <c r="C354" t="s">
        <v>27</v>
      </c>
      <c r="D354" t="s">
        <v>28</v>
      </c>
      <c r="E354" t="s">
        <v>29</v>
      </c>
      <c r="F354" t="s">
        <v>30</v>
      </c>
      <c r="G354">
        <v>3</v>
      </c>
      <c r="H354">
        <v>101550.42</v>
      </c>
      <c r="I354">
        <v>0.05</v>
      </c>
      <c r="J354">
        <v>304651.26</v>
      </c>
      <c r="K354">
        <v>15232.56</v>
      </c>
      <c r="L354">
        <v>0.1</v>
      </c>
      <c r="M354">
        <v>28941.87</v>
      </c>
      <c r="N354">
        <v>318360.57</v>
      </c>
      <c r="O354" t="s">
        <v>20</v>
      </c>
    </row>
    <row r="355" spans="1:15" x14ac:dyDescent="0.35">
      <c r="A355" t="s">
        <v>408</v>
      </c>
      <c r="B355" s="2">
        <v>46095</v>
      </c>
      <c r="C355" t="s">
        <v>32</v>
      </c>
      <c r="D355" t="s">
        <v>33</v>
      </c>
      <c r="E355" t="s">
        <v>34</v>
      </c>
      <c r="F355" t="s">
        <v>30</v>
      </c>
      <c r="G355">
        <v>7</v>
      </c>
      <c r="H355">
        <v>12305.06</v>
      </c>
      <c r="I355">
        <v>0</v>
      </c>
      <c r="J355">
        <v>86135.42</v>
      </c>
      <c r="K355">
        <v>0</v>
      </c>
      <c r="L355">
        <v>0.1</v>
      </c>
      <c r="M355">
        <v>8613.5400000000009</v>
      </c>
      <c r="N355">
        <v>94748.96</v>
      </c>
      <c r="O355" t="s">
        <v>20</v>
      </c>
    </row>
    <row r="356" spans="1:15" x14ac:dyDescent="0.35">
      <c r="A356" t="s">
        <v>409</v>
      </c>
      <c r="B356" s="2">
        <v>46224</v>
      </c>
      <c r="C356" t="s">
        <v>37</v>
      </c>
      <c r="D356" t="s">
        <v>38</v>
      </c>
      <c r="E356" t="s">
        <v>39</v>
      </c>
      <c r="F356" t="s">
        <v>40</v>
      </c>
      <c r="G356">
        <v>6</v>
      </c>
      <c r="H356">
        <v>153788.29</v>
      </c>
      <c r="I356">
        <v>0.05</v>
      </c>
      <c r="J356">
        <v>922729.74</v>
      </c>
      <c r="K356">
        <v>46136.49</v>
      </c>
      <c r="L356">
        <v>0.1</v>
      </c>
      <c r="M356">
        <v>87659.33</v>
      </c>
      <c r="N356">
        <v>964252.58</v>
      </c>
      <c r="O356" t="s">
        <v>35</v>
      </c>
    </row>
    <row r="357" spans="1:15" x14ac:dyDescent="0.35">
      <c r="A357" t="s">
        <v>410</v>
      </c>
      <c r="B357" s="2">
        <v>46099</v>
      </c>
      <c r="C357" t="s">
        <v>42</v>
      </c>
      <c r="D357" t="s">
        <v>43</v>
      </c>
      <c r="E357" t="s">
        <v>44</v>
      </c>
      <c r="F357" t="s">
        <v>45</v>
      </c>
      <c r="G357">
        <v>1</v>
      </c>
      <c r="H357">
        <v>83733.95</v>
      </c>
      <c r="I357">
        <v>0.15</v>
      </c>
      <c r="J357">
        <v>83733.95</v>
      </c>
      <c r="K357">
        <v>12560.09</v>
      </c>
      <c r="L357">
        <v>7.4999999999999997E-2</v>
      </c>
      <c r="M357">
        <v>5338.04</v>
      </c>
      <c r="N357">
        <v>76511.899999999994</v>
      </c>
      <c r="O357" t="s">
        <v>35</v>
      </c>
    </row>
    <row r="358" spans="1:15" x14ac:dyDescent="0.35">
      <c r="A358" t="s">
        <v>411</v>
      </c>
      <c r="B358" s="2">
        <v>46151</v>
      </c>
      <c r="C358" t="s">
        <v>47</v>
      </c>
      <c r="D358" t="s">
        <v>48</v>
      </c>
      <c r="E358" t="s">
        <v>49</v>
      </c>
      <c r="F358" t="s">
        <v>50</v>
      </c>
      <c r="G358">
        <v>7</v>
      </c>
      <c r="H358">
        <v>124578.22</v>
      </c>
      <c r="I358">
        <v>0.15</v>
      </c>
      <c r="J358">
        <v>872047.54</v>
      </c>
      <c r="K358">
        <v>130807.13</v>
      </c>
      <c r="L358">
        <v>0.1</v>
      </c>
      <c r="M358">
        <v>74124.039999999994</v>
      </c>
      <c r="N358">
        <v>815364.45</v>
      </c>
      <c r="O358" t="s">
        <v>20</v>
      </c>
    </row>
    <row r="359" spans="1:15" x14ac:dyDescent="0.35">
      <c r="A359" t="s">
        <v>412</v>
      </c>
      <c r="B359" s="2">
        <v>46108</v>
      </c>
      <c r="C359" t="s">
        <v>52</v>
      </c>
      <c r="D359" t="s">
        <v>53</v>
      </c>
      <c r="E359" t="s">
        <v>54</v>
      </c>
      <c r="F359" t="s">
        <v>50</v>
      </c>
      <c r="G359">
        <v>4</v>
      </c>
      <c r="H359">
        <v>102681.49</v>
      </c>
      <c r="I359">
        <v>0.05</v>
      </c>
      <c r="J359">
        <v>410725.96</v>
      </c>
      <c r="K359">
        <v>20536.3</v>
      </c>
      <c r="L359">
        <v>0.1</v>
      </c>
      <c r="M359">
        <v>39018.97</v>
      </c>
      <c r="N359">
        <v>429208.63</v>
      </c>
      <c r="O359" t="s">
        <v>25</v>
      </c>
    </row>
    <row r="360" spans="1:15" x14ac:dyDescent="0.35">
      <c r="A360" t="s">
        <v>413</v>
      </c>
      <c r="B360" s="2">
        <v>46114</v>
      </c>
      <c r="C360" t="s">
        <v>56</v>
      </c>
      <c r="D360" t="s">
        <v>57</v>
      </c>
      <c r="E360" t="s">
        <v>58</v>
      </c>
      <c r="F360" t="s">
        <v>19</v>
      </c>
      <c r="G360">
        <v>7</v>
      </c>
      <c r="H360">
        <v>24742.33</v>
      </c>
      <c r="I360">
        <v>0.1</v>
      </c>
      <c r="J360">
        <v>173196.31</v>
      </c>
      <c r="K360">
        <v>17319.63</v>
      </c>
      <c r="L360">
        <v>7.4999999999999997E-2</v>
      </c>
      <c r="M360">
        <v>11690.75</v>
      </c>
      <c r="N360">
        <v>167567.43</v>
      </c>
      <c r="O360" t="s">
        <v>35</v>
      </c>
    </row>
    <row r="361" spans="1:15" x14ac:dyDescent="0.35">
      <c r="A361" t="s">
        <v>414</v>
      </c>
      <c r="B361" s="2">
        <v>46102</v>
      </c>
      <c r="C361" t="s">
        <v>60</v>
      </c>
      <c r="D361" t="s">
        <v>61</v>
      </c>
      <c r="E361" t="s">
        <v>62</v>
      </c>
      <c r="F361" t="s">
        <v>19</v>
      </c>
      <c r="G361">
        <v>7</v>
      </c>
      <c r="H361">
        <v>202602.7</v>
      </c>
      <c r="I361">
        <v>0.1</v>
      </c>
      <c r="J361">
        <v>1418218.9</v>
      </c>
      <c r="K361">
        <v>141821.89000000001</v>
      </c>
      <c r="L361">
        <v>7.4999999999999997E-2</v>
      </c>
      <c r="M361">
        <v>95729.78</v>
      </c>
      <c r="N361">
        <v>1372126.79</v>
      </c>
      <c r="O361" t="s">
        <v>20</v>
      </c>
    </row>
    <row r="362" spans="1:15" x14ac:dyDescent="0.35">
      <c r="A362" t="s">
        <v>415</v>
      </c>
      <c r="B362" s="2">
        <v>46243</v>
      </c>
      <c r="C362" t="s">
        <v>16</v>
      </c>
      <c r="D362" t="s">
        <v>17</v>
      </c>
      <c r="E362" t="s">
        <v>18</v>
      </c>
      <c r="F362" t="s">
        <v>19</v>
      </c>
      <c r="G362">
        <v>7</v>
      </c>
      <c r="H362">
        <v>670328.59</v>
      </c>
      <c r="I362">
        <v>0.15</v>
      </c>
      <c r="J362">
        <v>4692300.13</v>
      </c>
      <c r="K362">
        <v>703845.02</v>
      </c>
      <c r="L362">
        <v>7.4999999999999997E-2</v>
      </c>
      <c r="M362">
        <v>299134.13</v>
      </c>
      <c r="N362">
        <v>4287589.24</v>
      </c>
      <c r="O362" t="s">
        <v>20</v>
      </c>
    </row>
    <row r="363" spans="1:15" x14ac:dyDescent="0.35">
      <c r="A363" t="s">
        <v>416</v>
      </c>
      <c r="B363" s="2">
        <v>46037</v>
      </c>
      <c r="C363" t="s">
        <v>22</v>
      </c>
      <c r="D363" t="s">
        <v>23</v>
      </c>
      <c r="E363" t="s">
        <v>24</v>
      </c>
      <c r="F363" t="s">
        <v>19</v>
      </c>
      <c r="G363">
        <v>1</v>
      </c>
      <c r="H363">
        <v>17839.93</v>
      </c>
      <c r="I363">
        <v>0.05</v>
      </c>
      <c r="J363">
        <v>17839.93</v>
      </c>
      <c r="K363">
        <v>892</v>
      </c>
      <c r="L363">
        <v>0.1</v>
      </c>
      <c r="M363">
        <v>1694.79</v>
      </c>
      <c r="N363">
        <v>18642.72</v>
      </c>
      <c r="O363" t="s">
        <v>20</v>
      </c>
    </row>
    <row r="364" spans="1:15" x14ac:dyDescent="0.35">
      <c r="A364" t="s">
        <v>417</v>
      </c>
      <c r="B364" s="2">
        <v>46035</v>
      </c>
      <c r="C364" t="s">
        <v>27</v>
      </c>
      <c r="D364" t="s">
        <v>28</v>
      </c>
      <c r="E364" t="s">
        <v>29</v>
      </c>
      <c r="F364" t="s">
        <v>30</v>
      </c>
      <c r="G364">
        <v>6</v>
      </c>
      <c r="H364">
        <v>97167.15</v>
      </c>
      <c r="I364">
        <v>0.05</v>
      </c>
      <c r="J364">
        <v>583002.9</v>
      </c>
      <c r="K364">
        <v>29150.15</v>
      </c>
      <c r="L364">
        <v>0.1</v>
      </c>
      <c r="M364">
        <v>55385.279999999999</v>
      </c>
      <c r="N364">
        <v>609238.03</v>
      </c>
      <c r="O364" t="s">
        <v>35</v>
      </c>
    </row>
    <row r="365" spans="1:15" x14ac:dyDescent="0.35">
      <c r="A365" t="s">
        <v>418</v>
      </c>
      <c r="B365" s="2">
        <v>46182</v>
      </c>
      <c r="C365" t="s">
        <v>32</v>
      </c>
      <c r="D365" t="s">
        <v>33</v>
      </c>
      <c r="E365" t="s">
        <v>34</v>
      </c>
      <c r="F365" t="s">
        <v>30</v>
      </c>
      <c r="G365">
        <v>2</v>
      </c>
      <c r="H365">
        <v>12866.84</v>
      </c>
      <c r="I365">
        <v>0.05</v>
      </c>
      <c r="J365">
        <v>25733.68</v>
      </c>
      <c r="K365">
        <v>1286.68</v>
      </c>
      <c r="L365">
        <v>0.1</v>
      </c>
      <c r="M365">
        <v>2444.6999999999998</v>
      </c>
      <c r="N365">
        <v>26891.7</v>
      </c>
      <c r="O365" t="s">
        <v>35</v>
      </c>
    </row>
    <row r="366" spans="1:15" x14ac:dyDescent="0.35">
      <c r="A366" t="s">
        <v>419</v>
      </c>
      <c r="B366" s="2">
        <v>46074</v>
      </c>
      <c r="C366" t="s">
        <v>37</v>
      </c>
      <c r="D366" t="s">
        <v>38</v>
      </c>
      <c r="E366" t="s">
        <v>39</v>
      </c>
      <c r="F366" t="s">
        <v>40</v>
      </c>
      <c r="G366">
        <v>2</v>
      </c>
      <c r="H366">
        <v>140614.04</v>
      </c>
      <c r="I366">
        <v>0</v>
      </c>
      <c r="J366">
        <v>281228.08</v>
      </c>
      <c r="K366">
        <v>0</v>
      </c>
      <c r="L366">
        <v>0.1</v>
      </c>
      <c r="M366">
        <v>28122.81</v>
      </c>
      <c r="N366">
        <v>309350.89</v>
      </c>
      <c r="O366" t="s">
        <v>20</v>
      </c>
    </row>
    <row r="367" spans="1:15" x14ac:dyDescent="0.35">
      <c r="A367" t="s">
        <v>420</v>
      </c>
      <c r="B367" s="2">
        <v>46113</v>
      </c>
      <c r="C367" t="s">
        <v>42</v>
      </c>
      <c r="D367" t="s">
        <v>43</v>
      </c>
      <c r="E367" t="s">
        <v>44</v>
      </c>
      <c r="F367" t="s">
        <v>45</v>
      </c>
      <c r="G367">
        <v>4</v>
      </c>
      <c r="H367">
        <v>84683.06</v>
      </c>
      <c r="I367">
        <v>0.1</v>
      </c>
      <c r="J367">
        <v>338732.24</v>
      </c>
      <c r="K367">
        <v>33873.22</v>
      </c>
      <c r="L367">
        <v>0.1</v>
      </c>
      <c r="M367">
        <v>30485.9</v>
      </c>
      <c r="N367">
        <v>335344.92</v>
      </c>
      <c r="O367" t="s">
        <v>20</v>
      </c>
    </row>
    <row r="368" spans="1:15" x14ac:dyDescent="0.35">
      <c r="A368" t="s">
        <v>421</v>
      </c>
      <c r="B368" s="2">
        <v>46047</v>
      </c>
      <c r="C368" t="s">
        <v>47</v>
      </c>
      <c r="D368" t="s">
        <v>48</v>
      </c>
      <c r="E368" t="s">
        <v>49</v>
      </c>
      <c r="F368" t="s">
        <v>50</v>
      </c>
      <c r="G368">
        <v>2</v>
      </c>
      <c r="H368">
        <v>124137.43</v>
      </c>
      <c r="I368">
        <v>0.1</v>
      </c>
      <c r="J368">
        <v>248274.86</v>
      </c>
      <c r="K368">
        <v>24827.49</v>
      </c>
      <c r="L368">
        <v>7.4999999999999997E-2</v>
      </c>
      <c r="M368">
        <v>16758.55</v>
      </c>
      <c r="N368">
        <v>240205.92</v>
      </c>
      <c r="O368" t="s">
        <v>35</v>
      </c>
    </row>
    <row r="369" spans="1:15" x14ac:dyDescent="0.35">
      <c r="A369" t="s">
        <v>422</v>
      </c>
      <c r="B369" s="2">
        <v>46169</v>
      </c>
      <c r="C369" t="s">
        <v>52</v>
      </c>
      <c r="D369" t="s">
        <v>53</v>
      </c>
      <c r="E369" t="s">
        <v>54</v>
      </c>
      <c r="F369" t="s">
        <v>50</v>
      </c>
      <c r="G369">
        <v>7</v>
      </c>
      <c r="H369">
        <v>106347.43</v>
      </c>
      <c r="I369">
        <v>0</v>
      </c>
      <c r="J369">
        <v>744432.01</v>
      </c>
      <c r="K369">
        <v>0</v>
      </c>
      <c r="L369">
        <v>0.1</v>
      </c>
      <c r="M369">
        <v>74443.199999999997</v>
      </c>
      <c r="N369">
        <v>818875.21</v>
      </c>
      <c r="O369" t="s">
        <v>35</v>
      </c>
    </row>
    <row r="370" spans="1:15" x14ac:dyDescent="0.35">
      <c r="A370" t="s">
        <v>423</v>
      </c>
      <c r="B370" s="2">
        <v>46167</v>
      </c>
      <c r="C370" t="s">
        <v>56</v>
      </c>
      <c r="D370" t="s">
        <v>57</v>
      </c>
      <c r="E370" t="s">
        <v>58</v>
      </c>
      <c r="F370" t="s">
        <v>19</v>
      </c>
      <c r="G370">
        <v>3</v>
      </c>
      <c r="H370">
        <v>24520.3</v>
      </c>
      <c r="I370">
        <v>0.15</v>
      </c>
      <c r="J370">
        <v>73560.899999999994</v>
      </c>
      <c r="K370">
        <v>11034.13</v>
      </c>
      <c r="L370">
        <v>7.4999999999999997E-2</v>
      </c>
      <c r="M370">
        <v>4689.51</v>
      </c>
      <c r="N370">
        <v>67216.28</v>
      </c>
      <c r="O370" t="s">
        <v>35</v>
      </c>
    </row>
    <row r="371" spans="1:15" x14ac:dyDescent="0.35">
      <c r="A371" t="s">
        <v>424</v>
      </c>
      <c r="B371" s="2">
        <v>46143</v>
      </c>
      <c r="C371" t="s">
        <v>60</v>
      </c>
      <c r="D371" t="s">
        <v>61</v>
      </c>
      <c r="E371" t="s">
        <v>62</v>
      </c>
      <c r="F371" t="s">
        <v>19</v>
      </c>
      <c r="G371">
        <v>2</v>
      </c>
      <c r="H371">
        <v>208254.87</v>
      </c>
      <c r="I371">
        <v>0.15</v>
      </c>
      <c r="J371">
        <v>416509.74</v>
      </c>
      <c r="K371">
        <v>62476.46</v>
      </c>
      <c r="L371">
        <v>0.1</v>
      </c>
      <c r="M371">
        <v>35403.33</v>
      </c>
      <c r="N371">
        <v>389436.61</v>
      </c>
      <c r="O371" t="s">
        <v>35</v>
      </c>
    </row>
    <row r="372" spans="1:15" x14ac:dyDescent="0.35">
      <c r="A372" t="s">
        <v>425</v>
      </c>
      <c r="B372" s="2">
        <v>46162</v>
      </c>
      <c r="C372" t="s">
        <v>16</v>
      </c>
      <c r="D372" t="s">
        <v>17</v>
      </c>
      <c r="E372" t="s">
        <v>18</v>
      </c>
      <c r="F372" t="s">
        <v>19</v>
      </c>
      <c r="G372">
        <v>3</v>
      </c>
      <c r="H372">
        <v>694679.01</v>
      </c>
      <c r="I372">
        <v>0.15</v>
      </c>
      <c r="J372">
        <v>2084037.03</v>
      </c>
      <c r="K372">
        <v>312605.55</v>
      </c>
      <c r="L372">
        <v>7.4999999999999997E-2</v>
      </c>
      <c r="M372">
        <v>132857.35999999999</v>
      </c>
      <c r="N372">
        <v>1904288.84</v>
      </c>
      <c r="O372" t="s">
        <v>35</v>
      </c>
    </row>
    <row r="373" spans="1:15" x14ac:dyDescent="0.35">
      <c r="A373" t="s">
        <v>426</v>
      </c>
      <c r="B373" s="2">
        <v>46103</v>
      </c>
      <c r="C373" t="s">
        <v>22</v>
      </c>
      <c r="D373" t="s">
        <v>23</v>
      </c>
      <c r="E373" t="s">
        <v>24</v>
      </c>
      <c r="F373" t="s">
        <v>19</v>
      </c>
      <c r="G373">
        <v>4</v>
      </c>
      <c r="H373">
        <v>18626.79</v>
      </c>
      <c r="I373">
        <v>0.05</v>
      </c>
      <c r="J373">
        <v>74507.16</v>
      </c>
      <c r="K373">
        <v>3725.36</v>
      </c>
      <c r="L373">
        <v>7.4999999999999997E-2</v>
      </c>
      <c r="M373">
        <v>5308.64</v>
      </c>
      <c r="N373">
        <v>76090.44</v>
      </c>
      <c r="O373" t="s">
        <v>35</v>
      </c>
    </row>
    <row r="374" spans="1:15" x14ac:dyDescent="0.35">
      <c r="A374" t="s">
        <v>427</v>
      </c>
      <c r="B374" s="2">
        <v>46134</v>
      </c>
      <c r="C374" t="s">
        <v>27</v>
      </c>
      <c r="D374" t="s">
        <v>28</v>
      </c>
      <c r="E374" t="s">
        <v>29</v>
      </c>
      <c r="F374" t="s">
        <v>30</v>
      </c>
      <c r="G374">
        <v>1</v>
      </c>
      <c r="H374">
        <v>95341.71</v>
      </c>
      <c r="I374">
        <v>0.1</v>
      </c>
      <c r="J374">
        <v>95341.71</v>
      </c>
      <c r="K374">
        <v>9534.17</v>
      </c>
      <c r="L374">
        <v>7.4999999999999997E-2</v>
      </c>
      <c r="M374">
        <v>6435.57</v>
      </c>
      <c r="N374">
        <v>92243.11</v>
      </c>
      <c r="O374" t="s">
        <v>35</v>
      </c>
    </row>
    <row r="375" spans="1:15" x14ac:dyDescent="0.35">
      <c r="A375" t="s">
        <v>428</v>
      </c>
      <c r="B375" s="2">
        <v>46196</v>
      </c>
      <c r="C375" t="s">
        <v>32</v>
      </c>
      <c r="D375" t="s">
        <v>33</v>
      </c>
      <c r="E375" t="s">
        <v>34</v>
      </c>
      <c r="F375" t="s">
        <v>30</v>
      </c>
      <c r="G375">
        <v>5</v>
      </c>
      <c r="H375">
        <v>11394.4</v>
      </c>
      <c r="I375">
        <v>0.1</v>
      </c>
      <c r="J375">
        <v>56972</v>
      </c>
      <c r="K375">
        <v>5697.2</v>
      </c>
      <c r="L375">
        <v>0.1</v>
      </c>
      <c r="M375">
        <v>5127.4799999999996</v>
      </c>
      <c r="N375">
        <v>56402.28</v>
      </c>
      <c r="O375" t="s">
        <v>35</v>
      </c>
    </row>
    <row r="376" spans="1:15" x14ac:dyDescent="0.35">
      <c r="A376" t="s">
        <v>429</v>
      </c>
      <c r="B376" s="2">
        <v>46080</v>
      </c>
      <c r="C376" t="s">
        <v>37</v>
      </c>
      <c r="D376" t="s">
        <v>38</v>
      </c>
      <c r="E376" t="s">
        <v>39</v>
      </c>
      <c r="F376" t="s">
        <v>40</v>
      </c>
      <c r="G376">
        <v>4</v>
      </c>
      <c r="H376">
        <v>148188.66</v>
      </c>
      <c r="I376">
        <v>0.05</v>
      </c>
      <c r="J376">
        <v>592754.64</v>
      </c>
      <c r="K376">
        <v>29637.73</v>
      </c>
      <c r="L376">
        <v>7.4999999999999997E-2</v>
      </c>
      <c r="M376">
        <v>42233.77</v>
      </c>
      <c r="N376">
        <v>605350.68000000005</v>
      </c>
      <c r="O376" t="s">
        <v>20</v>
      </c>
    </row>
    <row r="377" spans="1:15" x14ac:dyDescent="0.35">
      <c r="A377" t="s">
        <v>430</v>
      </c>
      <c r="B377" s="2">
        <v>46145</v>
      </c>
      <c r="C377" t="s">
        <v>42</v>
      </c>
      <c r="D377" t="s">
        <v>43</v>
      </c>
      <c r="E377" t="s">
        <v>44</v>
      </c>
      <c r="F377" t="s">
        <v>45</v>
      </c>
      <c r="G377">
        <v>5</v>
      </c>
      <c r="H377">
        <v>86810.86</v>
      </c>
      <c r="I377">
        <v>0.1</v>
      </c>
      <c r="J377">
        <v>434054.3</v>
      </c>
      <c r="K377">
        <v>43405.43</v>
      </c>
      <c r="L377">
        <v>7.4999999999999997E-2</v>
      </c>
      <c r="M377">
        <v>29298.67</v>
      </c>
      <c r="N377">
        <v>419947.54</v>
      </c>
      <c r="O377" t="s">
        <v>20</v>
      </c>
    </row>
    <row r="378" spans="1:15" x14ac:dyDescent="0.35">
      <c r="A378" t="s">
        <v>431</v>
      </c>
      <c r="B378" s="2">
        <v>46035</v>
      </c>
      <c r="C378" t="s">
        <v>47</v>
      </c>
      <c r="D378" t="s">
        <v>48</v>
      </c>
      <c r="E378" t="s">
        <v>49</v>
      </c>
      <c r="F378" t="s">
        <v>50</v>
      </c>
      <c r="G378">
        <v>5</v>
      </c>
      <c r="H378">
        <v>127376.76</v>
      </c>
      <c r="I378">
        <v>0</v>
      </c>
      <c r="J378">
        <v>636883.80000000005</v>
      </c>
      <c r="K378">
        <v>0</v>
      </c>
      <c r="L378">
        <v>0.1</v>
      </c>
      <c r="M378">
        <v>63688.38</v>
      </c>
      <c r="N378">
        <v>700572.18</v>
      </c>
      <c r="O378" t="s">
        <v>20</v>
      </c>
    </row>
    <row r="379" spans="1:15" x14ac:dyDescent="0.35">
      <c r="A379" t="s">
        <v>432</v>
      </c>
      <c r="B379" s="2">
        <v>46178</v>
      </c>
      <c r="C379" t="s">
        <v>52</v>
      </c>
      <c r="D379" t="s">
        <v>53</v>
      </c>
      <c r="E379" t="s">
        <v>54</v>
      </c>
      <c r="F379" t="s">
        <v>50</v>
      </c>
      <c r="G379">
        <v>2</v>
      </c>
      <c r="H379">
        <v>97772.36</v>
      </c>
      <c r="I379">
        <v>0.05</v>
      </c>
      <c r="J379">
        <v>195544.72</v>
      </c>
      <c r="K379">
        <v>9777.24</v>
      </c>
      <c r="L379">
        <v>0.1</v>
      </c>
      <c r="M379">
        <v>18576.75</v>
      </c>
      <c r="N379">
        <v>204344.23</v>
      </c>
      <c r="O379" t="s">
        <v>35</v>
      </c>
    </row>
    <row r="380" spans="1:15" x14ac:dyDescent="0.35">
      <c r="A380" t="s">
        <v>433</v>
      </c>
      <c r="B380" s="2">
        <v>46178</v>
      </c>
      <c r="C380" t="s">
        <v>56</v>
      </c>
      <c r="D380" t="s">
        <v>57</v>
      </c>
      <c r="E380" t="s">
        <v>58</v>
      </c>
      <c r="F380" t="s">
        <v>19</v>
      </c>
      <c r="G380">
        <v>2</v>
      </c>
      <c r="H380">
        <v>24022.58</v>
      </c>
      <c r="I380">
        <v>0.15</v>
      </c>
      <c r="J380">
        <v>48045.16</v>
      </c>
      <c r="K380">
        <v>7206.77</v>
      </c>
      <c r="L380">
        <v>0.1</v>
      </c>
      <c r="M380">
        <v>4083.84</v>
      </c>
      <c r="N380">
        <v>44922.23</v>
      </c>
      <c r="O380" t="s">
        <v>20</v>
      </c>
    </row>
    <row r="381" spans="1:15" x14ac:dyDescent="0.35">
      <c r="A381" t="s">
        <v>434</v>
      </c>
      <c r="B381" s="2">
        <v>46173</v>
      </c>
      <c r="C381" t="s">
        <v>60</v>
      </c>
      <c r="D381" t="s">
        <v>61</v>
      </c>
      <c r="E381" t="s">
        <v>62</v>
      </c>
      <c r="F381" t="s">
        <v>19</v>
      </c>
      <c r="G381">
        <v>4</v>
      </c>
      <c r="H381">
        <v>226034.15</v>
      </c>
      <c r="I381">
        <v>0</v>
      </c>
      <c r="J381">
        <v>904136.6</v>
      </c>
      <c r="K381">
        <v>0</v>
      </c>
      <c r="L381">
        <v>0.1</v>
      </c>
      <c r="M381">
        <v>90413.66</v>
      </c>
      <c r="N381">
        <v>994550.26</v>
      </c>
      <c r="O381" t="s">
        <v>20</v>
      </c>
    </row>
    <row r="382" spans="1:15" x14ac:dyDescent="0.35">
      <c r="A382" t="s">
        <v>435</v>
      </c>
      <c r="B382" s="2">
        <v>46075</v>
      </c>
      <c r="C382" t="s">
        <v>16</v>
      </c>
      <c r="D382" t="s">
        <v>17</v>
      </c>
      <c r="E382" t="s">
        <v>18</v>
      </c>
      <c r="F382" t="s">
        <v>19</v>
      </c>
      <c r="G382">
        <v>1</v>
      </c>
      <c r="H382">
        <v>642090.26</v>
      </c>
      <c r="I382">
        <v>0</v>
      </c>
      <c r="J382">
        <v>642090.26</v>
      </c>
      <c r="K382">
        <v>0</v>
      </c>
      <c r="L382">
        <v>7.4999999999999997E-2</v>
      </c>
      <c r="M382">
        <v>48156.77</v>
      </c>
      <c r="N382">
        <v>690247.03</v>
      </c>
      <c r="O382" t="s">
        <v>20</v>
      </c>
    </row>
    <row r="383" spans="1:15" x14ac:dyDescent="0.35">
      <c r="A383" t="s">
        <v>436</v>
      </c>
      <c r="B383" s="2">
        <v>46176</v>
      </c>
      <c r="C383" t="s">
        <v>22</v>
      </c>
      <c r="D383" t="s">
        <v>23</v>
      </c>
      <c r="E383" t="s">
        <v>24</v>
      </c>
      <c r="F383" t="s">
        <v>19</v>
      </c>
      <c r="G383">
        <v>2</v>
      </c>
      <c r="H383">
        <v>17921.93</v>
      </c>
      <c r="I383">
        <v>0</v>
      </c>
      <c r="J383">
        <v>35843.86</v>
      </c>
      <c r="K383">
        <v>0</v>
      </c>
      <c r="L383">
        <v>7.4999999999999997E-2</v>
      </c>
      <c r="M383">
        <v>2688.29</v>
      </c>
      <c r="N383">
        <v>38532.15</v>
      </c>
      <c r="O383" t="s">
        <v>35</v>
      </c>
    </row>
    <row r="384" spans="1:15" x14ac:dyDescent="0.35">
      <c r="A384" t="s">
        <v>437</v>
      </c>
      <c r="B384" s="2">
        <v>46037</v>
      </c>
      <c r="C384" t="s">
        <v>27</v>
      </c>
      <c r="D384" t="s">
        <v>28</v>
      </c>
      <c r="E384" t="s">
        <v>29</v>
      </c>
      <c r="F384" t="s">
        <v>30</v>
      </c>
      <c r="G384">
        <v>7</v>
      </c>
      <c r="H384">
        <v>90899.74</v>
      </c>
      <c r="I384">
        <v>0.1</v>
      </c>
      <c r="J384">
        <v>636298.18000000005</v>
      </c>
      <c r="K384">
        <v>63629.82</v>
      </c>
      <c r="L384">
        <v>0.1</v>
      </c>
      <c r="M384">
        <v>57266.84</v>
      </c>
      <c r="N384">
        <v>629935.19999999995</v>
      </c>
      <c r="O384" t="s">
        <v>35</v>
      </c>
    </row>
    <row r="385" spans="1:15" x14ac:dyDescent="0.35">
      <c r="A385" t="s">
        <v>438</v>
      </c>
      <c r="B385" s="2">
        <v>46179</v>
      </c>
      <c r="C385" t="s">
        <v>32</v>
      </c>
      <c r="D385" t="s">
        <v>33</v>
      </c>
      <c r="E385" t="s">
        <v>34</v>
      </c>
      <c r="F385" t="s">
        <v>30</v>
      </c>
      <c r="G385">
        <v>6</v>
      </c>
      <c r="H385">
        <v>12253.47</v>
      </c>
      <c r="I385">
        <v>0</v>
      </c>
      <c r="J385">
        <v>73520.820000000007</v>
      </c>
      <c r="K385">
        <v>0</v>
      </c>
      <c r="L385">
        <v>0.1</v>
      </c>
      <c r="M385">
        <v>7352.08</v>
      </c>
      <c r="N385">
        <v>80872.899999999994</v>
      </c>
      <c r="O385" t="s">
        <v>25</v>
      </c>
    </row>
    <row r="386" spans="1:15" x14ac:dyDescent="0.35">
      <c r="A386" t="s">
        <v>439</v>
      </c>
      <c r="B386" s="2">
        <v>46068</v>
      </c>
      <c r="C386" t="s">
        <v>37</v>
      </c>
      <c r="D386" t="s">
        <v>38</v>
      </c>
      <c r="E386" t="s">
        <v>39</v>
      </c>
      <c r="F386" t="s">
        <v>40</v>
      </c>
      <c r="G386">
        <v>3</v>
      </c>
      <c r="H386">
        <v>152329.13</v>
      </c>
      <c r="I386">
        <v>0.05</v>
      </c>
      <c r="J386">
        <v>456987.39</v>
      </c>
      <c r="K386">
        <v>22849.37</v>
      </c>
      <c r="L386">
        <v>7.4999999999999997E-2</v>
      </c>
      <c r="M386">
        <v>32560.35</v>
      </c>
      <c r="N386">
        <v>466698.37</v>
      </c>
      <c r="O386" t="s">
        <v>35</v>
      </c>
    </row>
    <row r="387" spans="1:15" x14ac:dyDescent="0.35">
      <c r="A387" t="s">
        <v>440</v>
      </c>
      <c r="B387" s="2">
        <v>46050</v>
      </c>
      <c r="C387" t="s">
        <v>42</v>
      </c>
      <c r="D387" t="s">
        <v>43</v>
      </c>
      <c r="E387" t="s">
        <v>44</v>
      </c>
      <c r="F387" t="s">
        <v>45</v>
      </c>
      <c r="G387">
        <v>7</v>
      </c>
      <c r="H387">
        <v>88053.43</v>
      </c>
      <c r="I387">
        <v>0.1</v>
      </c>
      <c r="J387">
        <v>616374.01</v>
      </c>
      <c r="K387">
        <v>61637.4</v>
      </c>
      <c r="L387">
        <v>7.4999999999999997E-2</v>
      </c>
      <c r="M387">
        <v>41605.25</v>
      </c>
      <c r="N387">
        <v>596341.86</v>
      </c>
      <c r="O387" t="s">
        <v>35</v>
      </c>
    </row>
    <row r="388" spans="1:15" x14ac:dyDescent="0.35">
      <c r="A388" t="s">
        <v>441</v>
      </c>
      <c r="B388" s="2">
        <v>46058</v>
      </c>
      <c r="C388" t="s">
        <v>47</v>
      </c>
      <c r="D388" t="s">
        <v>48</v>
      </c>
      <c r="E388" t="s">
        <v>49</v>
      </c>
      <c r="F388" t="s">
        <v>50</v>
      </c>
      <c r="G388">
        <v>3</v>
      </c>
      <c r="H388">
        <v>121981.81</v>
      </c>
      <c r="I388">
        <v>0.05</v>
      </c>
      <c r="J388">
        <v>365945.43</v>
      </c>
      <c r="K388">
        <v>18297.27</v>
      </c>
      <c r="L388">
        <v>0.1</v>
      </c>
      <c r="M388">
        <v>34764.82</v>
      </c>
      <c r="N388">
        <v>382412.98</v>
      </c>
      <c r="O388" t="s">
        <v>35</v>
      </c>
    </row>
    <row r="389" spans="1:15" x14ac:dyDescent="0.35">
      <c r="A389" t="s">
        <v>442</v>
      </c>
      <c r="B389" s="2">
        <v>46190</v>
      </c>
      <c r="C389" t="s">
        <v>52</v>
      </c>
      <c r="D389" t="s">
        <v>53</v>
      </c>
      <c r="E389" t="s">
        <v>54</v>
      </c>
      <c r="F389" t="s">
        <v>50</v>
      </c>
      <c r="G389">
        <v>6</v>
      </c>
      <c r="H389">
        <v>96238.33</v>
      </c>
      <c r="I389">
        <v>0</v>
      </c>
      <c r="J389">
        <v>577429.98</v>
      </c>
      <c r="K389">
        <v>0</v>
      </c>
      <c r="L389">
        <v>7.4999999999999997E-2</v>
      </c>
      <c r="M389">
        <v>43307.25</v>
      </c>
      <c r="N389">
        <v>620737.23</v>
      </c>
      <c r="O389" t="s">
        <v>35</v>
      </c>
    </row>
    <row r="390" spans="1:15" x14ac:dyDescent="0.35">
      <c r="A390" t="s">
        <v>443</v>
      </c>
      <c r="B390" s="2">
        <v>46222</v>
      </c>
      <c r="C390" t="s">
        <v>56</v>
      </c>
      <c r="D390" t="s">
        <v>57</v>
      </c>
      <c r="E390" t="s">
        <v>58</v>
      </c>
      <c r="F390" t="s">
        <v>19</v>
      </c>
      <c r="G390">
        <v>1</v>
      </c>
      <c r="H390">
        <v>23906.63</v>
      </c>
      <c r="I390">
        <v>0</v>
      </c>
      <c r="J390">
        <v>23906.63</v>
      </c>
      <c r="K390">
        <v>0</v>
      </c>
      <c r="L390">
        <v>7.4999999999999997E-2</v>
      </c>
      <c r="M390">
        <v>1793</v>
      </c>
      <c r="N390">
        <v>25699.63</v>
      </c>
      <c r="O390" t="s">
        <v>35</v>
      </c>
    </row>
    <row r="391" spans="1:15" x14ac:dyDescent="0.35">
      <c r="A391" t="s">
        <v>444</v>
      </c>
      <c r="B391" s="2">
        <v>46053</v>
      </c>
      <c r="C391" t="s">
        <v>60</v>
      </c>
      <c r="D391" t="s">
        <v>61</v>
      </c>
      <c r="E391" t="s">
        <v>62</v>
      </c>
      <c r="F391" t="s">
        <v>19</v>
      </c>
      <c r="G391">
        <v>4</v>
      </c>
      <c r="H391">
        <v>204779.96</v>
      </c>
      <c r="I391">
        <v>0</v>
      </c>
      <c r="J391">
        <v>819119.84</v>
      </c>
      <c r="K391">
        <v>0</v>
      </c>
      <c r="L391">
        <v>0.5</v>
      </c>
      <c r="M391">
        <v>81911.98</v>
      </c>
      <c r="N391">
        <v>901031.82</v>
      </c>
      <c r="O391" t="s">
        <v>20</v>
      </c>
    </row>
    <row r="392" spans="1:15" x14ac:dyDescent="0.35">
      <c r="A392" t="s">
        <v>445</v>
      </c>
      <c r="B392" s="2">
        <v>46070</v>
      </c>
      <c r="C392" t="s">
        <v>16</v>
      </c>
      <c r="D392" t="s">
        <v>17</v>
      </c>
      <c r="E392" t="s">
        <v>18</v>
      </c>
      <c r="F392" t="s">
        <v>19</v>
      </c>
      <c r="G392">
        <v>6</v>
      </c>
      <c r="H392">
        <v>659652.44999999995</v>
      </c>
      <c r="I392">
        <v>0.1</v>
      </c>
      <c r="J392">
        <v>3957914.7</v>
      </c>
      <c r="K392">
        <v>395791.47</v>
      </c>
      <c r="L392">
        <v>0.1</v>
      </c>
      <c r="M392">
        <v>356212.32</v>
      </c>
      <c r="N392">
        <v>3918335.55</v>
      </c>
      <c r="O392" t="s">
        <v>35</v>
      </c>
    </row>
    <row r="393" spans="1:15" x14ac:dyDescent="0.35">
      <c r="A393" t="s">
        <v>446</v>
      </c>
      <c r="B393" s="2">
        <v>46198</v>
      </c>
      <c r="C393" t="s">
        <v>22</v>
      </c>
      <c r="D393" t="s">
        <v>23</v>
      </c>
      <c r="E393" t="s">
        <v>24</v>
      </c>
      <c r="F393" t="s">
        <v>19</v>
      </c>
      <c r="G393">
        <v>3</v>
      </c>
      <c r="H393">
        <v>17108.14</v>
      </c>
      <c r="I393">
        <v>0.05</v>
      </c>
      <c r="J393">
        <v>51324.42</v>
      </c>
      <c r="K393">
        <v>2566.2199999999998</v>
      </c>
      <c r="L393">
        <v>7.4999999999999997E-2</v>
      </c>
      <c r="M393">
        <v>3656.86</v>
      </c>
      <c r="N393">
        <v>52415.06</v>
      </c>
      <c r="O393" t="s">
        <v>20</v>
      </c>
    </row>
    <row r="394" spans="1:15" x14ac:dyDescent="0.35">
      <c r="A394" t="s">
        <v>447</v>
      </c>
      <c r="B394" s="2">
        <v>46142</v>
      </c>
      <c r="C394" t="s">
        <v>27</v>
      </c>
      <c r="D394" t="s">
        <v>28</v>
      </c>
      <c r="E394" t="s">
        <v>29</v>
      </c>
      <c r="F394" t="s">
        <v>30</v>
      </c>
      <c r="G394">
        <v>1</v>
      </c>
      <c r="H394">
        <v>102531.3</v>
      </c>
      <c r="I394">
        <v>0.1</v>
      </c>
      <c r="J394">
        <v>102531.3</v>
      </c>
      <c r="K394">
        <v>10253.129999999999</v>
      </c>
      <c r="L394">
        <v>0.1</v>
      </c>
      <c r="M394">
        <v>9227.82</v>
      </c>
      <c r="N394">
        <v>101505.99</v>
      </c>
      <c r="O394" t="s">
        <v>35</v>
      </c>
    </row>
    <row r="395" spans="1:15" x14ac:dyDescent="0.35">
      <c r="A395" t="s">
        <v>448</v>
      </c>
      <c r="B395" s="2">
        <v>46247</v>
      </c>
      <c r="C395" t="s">
        <v>32</v>
      </c>
      <c r="D395" t="s">
        <v>33</v>
      </c>
      <c r="E395" t="s">
        <v>34</v>
      </c>
      <c r="F395" t="s">
        <v>30</v>
      </c>
      <c r="G395">
        <v>4</v>
      </c>
      <c r="H395">
        <v>11210.43</v>
      </c>
      <c r="I395">
        <v>0</v>
      </c>
      <c r="J395">
        <v>44841.72</v>
      </c>
      <c r="K395">
        <v>0</v>
      </c>
      <c r="L395">
        <v>7.4999999999999997E-2</v>
      </c>
      <c r="M395">
        <v>3363.13</v>
      </c>
      <c r="N395">
        <v>48204.85</v>
      </c>
      <c r="O395" t="s">
        <v>20</v>
      </c>
    </row>
    <row r="396" spans="1:15" x14ac:dyDescent="0.35">
      <c r="A396" t="s">
        <v>449</v>
      </c>
      <c r="B396" s="2">
        <v>46184</v>
      </c>
      <c r="C396" t="s">
        <v>37</v>
      </c>
      <c r="D396" t="s">
        <v>38</v>
      </c>
      <c r="E396" t="s">
        <v>39</v>
      </c>
      <c r="F396" t="s">
        <v>40</v>
      </c>
      <c r="G396">
        <v>1</v>
      </c>
      <c r="H396">
        <v>142091.47</v>
      </c>
      <c r="I396">
        <v>0.05</v>
      </c>
      <c r="J396">
        <v>142091.47</v>
      </c>
      <c r="K396">
        <v>7104.57</v>
      </c>
      <c r="L396">
        <v>0.1</v>
      </c>
      <c r="M396">
        <v>13498.69</v>
      </c>
      <c r="N396">
        <v>148485.59</v>
      </c>
      <c r="O396" t="s">
        <v>35</v>
      </c>
    </row>
    <row r="397" spans="1:15" x14ac:dyDescent="0.35">
      <c r="A397" t="s">
        <v>450</v>
      </c>
      <c r="B397" s="2">
        <v>46238</v>
      </c>
      <c r="C397" t="s">
        <v>42</v>
      </c>
      <c r="D397" t="s">
        <v>43</v>
      </c>
      <c r="E397" t="s">
        <v>44</v>
      </c>
      <c r="F397" t="s">
        <v>45</v>
      </c>
      <c r="G397">
        <v>4</v>
      </c>
      <c r="H397">
        <v>82926.97</v>
      </c>
      <c r="I397">
        <v>0.15</v>
      </c>
      <c r="J397">
        <v>331707.88</v>
      </c>
      <c r="K397">
        <v>49756.18</v>
      </c>
      <c r="L397">
        <v>0.1</v>
      </c>
      <c r="M397">
        <v>28195.17</v>
      </c>
      <c r="N397">
        <v>310146.87</v>
      </c>
      <c r="O397" t="s">
        <v>35</v>
      </c>
    </row>
    <row r="398" spans="1:15" x14ac:dyDescent="0.35">
      <c r="A398" t="s">
        <v>451</v>
      </c>
      <c r="B398" s="2">
        <v>46130</v>
      </c>
      <c r="C398" t="s">
        <v>47</v>
      </c>
      <c r="D398" t="s">
        <v>48</v>
      </c>
      <c r="E398" t="s">
        <v>49</v>
      </c>
      <c r="F398" t="s">
        <v>50</v>
      </c>
      <c r="G398">
        <v>6</v>
      </c>
      <c r="H398">
        <v>114905.13</v>
      </c>
      <c r="I398">
        <v>0.15</v>
      </c>
      <c r="J398">
        <v>689430.78</v>
      </c>
      <c r="K398">
        <v>103414.62</v>
      </c>
      <c r="L398">
        <v>7.4999999999999997E-2</v>
      </c>
      <c r="M398">
        <v>43951.21</v>
      </c>
      <c r="N398">
        <v>629967.37</v>
      </c>
      <c r="O398" t="s">
        <v>35</v>
      </c>
    </row>
    <row r="399" spans="1:15" x14ac:dyDescent="0.35">
      <c r="A399" t="s">
        <v>452</v>
      </c>
      <c r="B399" s="2">
        <v>46147</v>
      </c>
      <c r="C399" t="s">
        <v>52</v>
      </c>
      <c r="D399" t="s">
        <v>53</v>
      </c>
      <c r="E399" t="s">
        <v>54</v>
      </c>
      <c r="F399" t="s">
        <v>50</v>
      </c>
      <c r="G399">
        <v>4</v>
      </c>
      <c r="H399">
        <v>106832.02</v>
      </c>
      <c r="I399">
        <v>0.15</v>
      </c>
      <c r="J399">
        <v>427328.08</v>
      </c>
      <c r="K399">
        <v>64099.21</v>
      </c>
      <c r="L399">
        <v>7.4999999999999997E-2</v>
      </c>
      <c r="M399">
        <v>27242.17</v>
      </c>
      <c r="N399">
        <v>390471.04</v>
      </c>
      <c r="O399" t="s">
        <v>20</v>
      </c>
    </row>
    <row r="400" spans="1:15" x14ac:dyDescent="0.35">
      <c r="A400" t="s">
        <v>453</v>
      </c>
      <c r="B400" s="2">
        <v>46257</v>
      </c>
      <c r="C400" t="s">
        <v>56</v>
      </c>
      <c r="D400" t="s">
        <v>57</v>
      </c>
      <c r="E400" t="s">
        <v>58</v>
      </c>
      <c r="F400" t="s">
        <v>19</v>
      </c>
      <c r="G400">
        <v>4</v>
      </c>
      <c r="H400">
        <v>25494.34</v>
      </c>
      <c r="I400">
        <v>0.05</v>
      </c>
      <c r="J400">
        <v>101977.36</v>
      </c>
      <c r="K400">
        <v>5098.87</v>
      </c>
      <c r="L400">
        <v>0.1</v>
      </c>
      <c r="M400">
        <v>9687.85</v>
      </c>
      <c r="N400">
        <v>106566.34</v>
      </c>
      <c r="O400" t="s">
        <v>25</v>
      </c>
    </row>
    <row r="401" spans="1:15" x14ac:dyDescent="0.35">
      <c r="A401" t="s">
        <v>454</v>
      </c>
      <c r="B401" s="2">
        <v>46252</v>
      </c>
      <c r="C401" t="s">
        <v>60</v>
      </c>
      <c r="D401" t="s">
        <v>61</v>
      </c>
      <c r="E401" t="s">
        <v>62</v>
      </c>
      <c r="F401" t="s">
        <v>19</v>
      </c>
      <c r="G401">
        <v>5</v>
      </c>
      <c r="H401">
        <v>231477.58</v>
      </c>
      <c r="I401">
        <v>0.05</v>
      </c>
      <c r="J401">
        <v>1157387.8999999999</v>
      </c>
      <c r="K401">
        <v>57869.4</v>
      </c>
      <c r="L401">
        <v>0.1</v>
      </c>
      <c r="M401">
        <v>109951.85</v>
      </c>
      <c r="N401">
        <v>1209470.3500000001</v>
      </c>
      <c r="O401" t="s">
        <v>35</v>
      </c>
    </row>
    <row r="402" spans="1:15" x14ac:dyDescent="0.35">
      <c r="A402" t="s">
        <v>455</v>
      </c>
      <c r="B402" s="2">
        <v>46092</v>
      </c>
      <c r="C402" t="s">
        <v>16</v>
      </c>
      <c r="D402" t="s">
        <v>17</v>
      </c>
      <c r="E402" t="s">
        <v>18</v>
      </c>
      <c r="F402" t="s">
        <v>19</v>
      </c>
      <c r="G402">
        <v>4</v>
      </c>
      <c r="H402">
        <v>629525.35</v>
      </c>
      <c r="I402">
        <v>0.05</v>
      </c>
      <c r="J402">
        <v>2518101.4</v>
      </c>
      <c r="K402">
        <v>125905.07</v>
      </c>
      <c r="L402">
        <v>7.4999999999999997E-2</v>
      </c>
      <c r="M402">
        <v>179414.72</v>
      </c>
      <c r="N402">
        <v>2571611.0499999998</v>
      </c>
      <c r="O402" t="s">
        <v>35</v>
      </c>
    </row>
    <row r="403" spans="1:15" x14ac:dyDescent="0.35">
      <c r="A403" t="s">
        <v>456</v>
      </c>
      <c r="B403" s="2">
        <v>46101</v>
      </c>
      <c r="C403" t="s">
        <v>22</v>
      </c>
      <c r="D403" t="s">
        <v>23</v>
      </c>
      <c r="E403" t="s">
        <v>24</v>
      </c>
      <c r="F403" t="s">
        <v>19</v>
      </c>
      <c r="G403">
        <v>2</v>
      </c>
      <c r="H403">
        <v>19258.439999999999</v>
      </c>
      <c r="I403">
        <v>0</v>
      </c>
      <c r="J403">
        <v>38516.879999999997</v>
      </c>
      <c r="K403">
        <v>0</v>
      </c>
      <c r="L403">
        <v>7.4999999999999997E-2</v>
      </c>
      <c r="M403">
        <v>2888.77</v>
      </c>
      <c r="N403">
        <v>41405.65</v>
      </c>
      <c r="O403" t="s">
        <v>20</v>
      </c>
    </row>
    <row r="404" spans="1:15" x14ac:dyDescent="0.35">
      <c r="A404" t="s">
        <v>457</v>
      </c>
      <c r="B404" s="2">
        <v>46081</v>
      </c>
      <c r="C404" t="s">
        <v>27</v>
      </c>
      <c r="D404" t="s">
        <v>28</v>
      </c>
      <c r="E404" t="s">
        <v>29</v>
      </c>
      <c r="F404" t="s">
        <v>30</v>
      </c>
      <c r="G404">
        <v>6</v>
      </c>
      <c r="H404">
        <v>94197.48</v>
      </c>
      <c r="I404">
        <v>0.15</v>
      </c>
      <c r="J404">
        <v>565184.88</v>
      </c>
      <c r="K404">
        <v>84777.73</v>
      </c>
      <c r="L404">
        <v>0.1</v>
      </c>
      <c r="M404">
        <v>48040.72</v>
      </c>
      <c r="N404">
        <v>528447.87</v>
      </c>
      <c r="O404" t="s">
        <v>35</v>
      </c>
    </row>
    <row r="405" spans="1:15" x14ac:dyDescent="0.35">
      <c r="A405" t="s">
        <v>458</v>
      </c>
      <c r="B405" s="2">
        <v>46127</v>
      </c>
      <c r="C405" t="s">
        <v>32</v>
      </c>
      <c r="D405" t="s">
        <v>33</v>
      </c>
      <c r="E405" t="s">
        <v>34</v>
      </c>
      <c r="F405" t="s">
        <v>30</v>
      </c>
      <c r="G405">
        <v>6</v>
      </c>
      <c r="H405">
        <v>11994.17</v>
      </c>
      <c r="I405">
        <v>0.05</v>
      </c>
      <c r="J405">
        <v>71965.02</v>
      </c>
      <c r="K405">
        <v>3598.25</v>
      </c>
      <c r="L405">
        <v>0.1</v>
      </c>
      <c r="M405">
        <v>6836.68</v>
      </c>
      <c r="N405">
        <v>75203.45</v>
      </c>
      <c r="O405" t="s">
        <v>35</v>
      </c>
    </row>
    <row r="406" spans="1:15" x14ac:dyDescent="0.35">
      <c r="A406" t="s">
        <v>459</v>
      </c>
      <c r="B406" s="2">
        <v>46108</v>
      </c>
      <c r="C406" t="s">
        <v>37</v>
      </c>
      <c r="D406" t="s">
        <v>38</v>
      </c>
      <c r="E406" t="s">
        <v>39</v>
      </c>
      <c r="F406" t="s">
        <v>40</v>
      </c>
      <c r="G406">
        <v>4</v>
      </c>
      <c r="H406">
        <v>160334.29</v>
      </c>
      <c r="I406">
        <v>0.05</v>
      </c>
      <c r="J406">
        <v>641337.16</v>
      </c>
      <c r="K406">
        <v>32066.86</v>
      </c>
      <c r="L406">
        <v>0.1</v>
      </c>
      <c r="M406">
        <v>60927.03</v>
      </c>
      <c r="N406">
        <v>670197.32999999996</v>
      </c>
      <c r="O406" t="s">
        <v>20</v>
      </c>
    </row>
    <row r="407" spans="1:15" x14ac:dyDescent="0.35">
      <c r="A407" t="s">
        <v>460</v>
      </c>
      <c r="B407" s="2">
        <v>46160</v>
      </c>
      <c r="C407" t="s">
        <v>42</v>
      </c>
      <c r="D407" t="s">
        <v>43</v>
      </c>
      <c r="E407" t="s">
        <v>44</v>
      </c>
      <c r="F407" t="s">
        <v>45</v>
      </c>
      <c r="G407">
        <v>6</v>
      </c>
      <c r="H407">
        <v>90140.45</v>
      </c>
      <c r="I407">
        <v>0.05</v>
      </c>
      <c r="J407">
        <v>540842.69999999995</v>
      </c>
      <c r="K407">
        <v>27042.14</v>
      </c>
      <c r="L407">
        <v>0.1</v>
      </c>
      <c r="M407">
        <v>51380.06</v>
      </c>
      <c r="N407">
        <v>565180.62</v>
      </c>
      <c r="O407" t="s">
        <v>35</v>
      </c>
    </row>
    <row r="408" spans="1:15" x14ac:dyDescent="0.35">
      <c r="A408" t="s">
        <v>461</v>
      </c>
      <c r="B408" s="2">
        <v>46175</v>
      </c>
      <c r="C408" t="s">
        <v>47</v>
      </c>
      <c r="D408" t="s">
        <v>48</v>
      </c>
      <c r="E408" t="s">
        <v>49</v>
      </c>
      <c r="F408" t="s">
        <v>50</v>
      </c>
      <c r="G408">
        <v>7</v>
      </c>
      <c r="H408">
        <v>116249.84</v>
      </c>
      <c r="I408">
        <v>0</v>
      </c>
      <c r="J408">
        <v>813748.88</v>
      </c>
      <c r="K408">
        <v>0</v>
      </c>
      <c r="L408">
        <v>7.4999999999999997E-2</v>
      </c>
      <c r="M408">
        <v>61031.17</v>
      </c>
      <c r="N408">
        <v>874780.05</v>
      </c>
      <c r="O408" t="s">
        <v>35</v>
      </c>
    </row>
    <row r="409" spans="1:15" x14ac:dyDescent="0.35">
      <c r="A409" t="s">
        <v>462</v>
      </c>
      <c r="B409" s="2">
        <v>46046</v>
      </c>
      <c r="C409" t="s">
        <v>52</v>
      </c>
      <c r="D409" t="s">
        <v>53</v>
      </c>
      <c r="E409" t="s">
        <v>54</v>
      </c>
      <c r="F409" t="s">
        <v>50</v>
      </c>
      <c r="G409">
        <v>3</v>
      </c>
      <c r="H409">
        <v>103119.22</v>
      </c>
      <c r="I409">
        <v>0.05</v>
      </c>
      <c r="J409">
        <v>309357.65999999997</v>
      </c>
      <c r="K409">
        <v>15467.88</v>
      </c>
      <c r="L409">
        <v>0.1</v>
      </c>
      <c r="M409">
        <v>29388.98</v>
      </c>
      <c r="N409">
        <v>323278.76</v>
      </c>
      <c r="O409" t="s">
        <v>20</v>
      </c>
    </row>
    <row r="410" spans="1:15" x14ac:dyDescent="0.35">
      <c r="A410" t="s">
        <v>463</v>
      </c>
      <c r="B410" s="2">
        <v>46080</v>
      </c>
      <c r="C410" t="s">
        <v>56</v>
      </c>
      <c r="D410" t="s">
        <v>57</v>
      </c>
      <c r="E410" t="s">
        <v>58</v>
      </c>
      <c r="F410" t="s">
        <v>19</v>
      </c>
      <c r="G410">
        <v>2</v>
      </c>
      <c r="H410">
        <v>26289.919999999998</v>
      </c>
      <c r="I410">
        <v>0</v>
      </c>
      <c r="J410">
        <v>52579.839999999997</v>
      </c>
      <c r="K410">
        <v>0</v>
      </c>
      <c r="L410">
        <v>7.4999999999999997E-2</v>
      </c>
      <c r="M410">
        <v>3943.49</v>
      </c>
      <c r="N410">
        <v>56523.33</v>
      </c>
      <c r="O410" t="s">
        <v>35</v>
      </c>
    </row>
    <row r="411" spans="1:15" x14ac:dyDescent="0.35">
      <c r="A411" t="s">
        <v>464</v>
      </c>
      <c r="B411" s="2">
        <v>46080</v>
      </c>
      <c r="C411" t="s">
        <v>60</v>
      </c>
      <c r="D411" t="s">
        <v>61</v>
      </c>
      <c r="E411" t="s">
        <v>62</v>
      </c>
      <c r="F411" t="s">
        <v>19</v>
      </c>
      <c r="G411">
        <v>7</v>
      </c>
      <c r="H411">
        <v>219544.58</v>
      </c>
      <c r="I411">
        <v>0.05</v>
      </c>
      <c r="J411">
        <v>1536812.06</v>
      </c>
      <c r="K411">
        <v>76840.600000000006</v>
      </c>
      <c r="L411">
        <v>0.1</v>
      </c>
      <c r="M411">
        <v>145997.15</v>
      </c>
      <c r="N411">
        <v>1605968.61</v>
      </c>
      <c r="O411" t="s">
        <v>20</v>
      </c>
    </row>
    <row r="412" spans="1:15" x14ac:dyDescent="0.35">
      <c r="A412" t="s">
        <v>465</v>
      </c>
      <c r="B412" s="2">
        <v>46051</v>
      </c>
      <c r="C412" t="s">
        <v>16</v>
      </c>
      <c r="D412" t="s">
        <v>17</v>
      </c>
      <c r="E412" t="s">
        <v>18</v>
      </c>
      <c r="F412" t="s">
        <v>19</v>
      </c>
      <c r="G412">
        <v>4</v>
      </c>
      <c r="H412">
        <v>650266.87</v>
      </c>
      <c r="I412">
        <v>0</v>
      </c>
      <c r="J412">
        <v>2601067.48</v>
      </c>
      <c r="K412">
        <v>0</v>
      </c>
      <c r="L412">
        <v>0.1</v>
      </c>
      <c r="M412">
        <v>260106.75</v>
      </c>
      <c r="N412">
        <v>2861174.23</v>
      </c>
      <c r="O412" t="s">
        <v>20</v>
      </c>
    </row>
    <row r="413" spans="1:15" x14ac:dyDescent="0.35">
      <c r="A413" t="s">
        <v>466</v>
      </c>
      <c r="B413" s="2">
        <v>46051</v>
      </c>
      <c r="C413" t="s">
        <v>22</v>
      </c>
      <c r="D413" t="s">
        <v>23</v>
      </c>
      <c r="E413" t="s">
        <v>24</v>
      </c>
      <c r="F413" t="s">
        <v>19</v>
      </c>
      <c r="G413">
        <v>2</v>
      </c>
      <c r="H413">
        <v>16756.34</v>
      </c>
      <c r="I413">
        <v>0.05</v>
      </c>
      <c r="J413">
        <v>33512.68</v>
      </c>
      <c r="K413">
        <v>1675.63</v>
      </c>
      <c r="L413">
        <v>0.1</v>
      </c>
      <c r="M413">
        <v>3183.7</v>
      </c>
      <c r="N413">
        <v>35020.75</v>
      </c>
      <c r="O413" t="s">
        <v>35</v>
      </c>
    </row>
    <row r="414" spans="1:15" x14ac:dyDescent="0.35">
      <c r="A414" t="s">
        <v>467</v>
      </c>
      <c r="B414" s="2">
        <v>46122</v>
      </c>
      <c r="C414" t="s">
        <v>27</v>
      </c>
      <c r="D414" t="s">
        <v>28</v>
      </c>
      <c r="E414" t="s">
        <v>29</v>
      </c>
      <c r="F414" t="s">
        <v>30</v>
      </c>
      <c r="G414">
        <v>5</v>
      </c>
      <c r="H414">
        <v>95752.85</v>
      </c>
      <c r="I414">
        <v>0.15</v>
      </c>
      <c r="J414">
        <v>478764.25</v>
      </c>
      <c r="K414">
        <v>71814.64</v>
      </c>
      <c r="L414">
        <v>0.1</v>
      </c>
      <c r="M414">
        <v>40694.959999999999</v>
      </c>
      <c r="N414">
        <v>447644.57</v>
      </c>
      <c r="O414" t="s">
        <v>20</v>
      </c>
    </row>
    <row r="415" spans="1:15" x14ac:dyDescent="0.35">
      <c r="A415" t="s">
        <v>468</v>
      </c>
      <c r="B415" s="2">
        <v>46086</v>
      </c>
      <c r="C415" t="s">
        <v>32</v>
      </c>
      <c r="D415" t="s">
        <v>33</v>
      </c>
      <c r="E415" t="s">
        <v>34</v>
      </c>
      <c r="F415" t="s">
        <v>30</v>
      </c>
      <c r="G415">
        <v>7</v>
      </c>
      <c r="H415">
        <v>12011.79</v>
      </c>
      <c r="I415">
        <v>0.05</v>
      </c>
      <c r="J415">
        <v>84082.53</v>
      </c>
      <c r="K415">
        <v>4204.13</v>
      </c>
      <c r="L415">
        <v>7.4999999999999997E-2</v>
      </c>
      <c r="M415">
        <v>5990.88</v>
      </c>
      <c r="N415">
        <v>85869.28</v>
      </c>
      <c r="O415" t="s">
        <v>25</v>
      </c>
    </row>
    <row r="416" spans="1:15" x14ac:dyDescent="0.35">
      <c r="A416" t="s">
        <v>469</v>
      </c>
      <c r="B416" s="2">
        <v>46177</v>
      </c>
      <c r="C416" t="s">
        <v>37</v>
      </c>
      <c r="D416" t="s">
        <v>38</v>
      </c>
      <c r="E416" t="s">
        <v>39</v>
      </c>
      <c r="F416" t="s">
        <v>40</v>
      </c>
      <c r="G416">
        <v>5</v>
      </c>
      <c r="H416">
        <v>138424.51</v>
      </c>
      <c r="I416">
        <v>0.05</v>
      </c>
      <c r="J416">
        <v>692122.55</v>
      </c>
      <c r="K416">
        <v>34606.129999999997</v>
      </c>
      <c r="L416">
        <v>0.1</v>
      </c>
      <c r="M416">
        <v>65751.64</v>
      </c>
      <c r="N416">
        <v>723268.06</v>
      </c>
      <c r="O416" t="s">
        <v>35</v>
      </c>
    </row>
    <row r="417" spans="1:15" x14ac:dyDescent="0.35">
      <c r="A417" t="s">
        <v>470</v>
      </c>
      <c r="B417" s="2">
        <v>46115</v>
      </c>
      <c r="C417" t="s">
        <v>42</v>
      </c>
      <c r="D417" t="s">
        <v>43</v>
      </c>
      <c r="E417" t="s">
        <v>44</v>
      </c>
      <c r="F417" t="s">
        <v>45</v>
      </c>
      <c r="G417">
        <v>3</v>
      </c>
      <c r="H417">
        <v>85876.4</v>
      </c>
      <c r="I417">
        <v>0.05</v>
      </c>
      <c r="J417">
        <v>257629.2</v>
      </c>
      <c r="K417">
        <v>12881.46</v>
      </c>
      <c r="L417">
        <v>0.1</v>
      </c>
      <c r="M417">
        <v>24474.77</v>
      </c>
      <c r="N417">
        <v>269222.51</v>
      </c>
      <c r="O417" t="s">
        <v>35</v>
      </c>
    </row>
    <row r="418" spans="1:15" x14ac:dyDescent="0.35">
      <c r="A418" t="s">
        <v>471</v>
      </c>
      <c r="B418" s="2">
        <v>46233</v>
      </c>
      <c r="C418" t="s">
        <v>47</v>
      </c>
      <c r="D418" t="s">
        <v>48</v>
      </c>
      <c r="E418" t="s">
        <v>49</v>
      </c>
      <c r="F418" t="s">
        <v>50</v>
      </c>
      <c r="G418">
        <v>3</v>
      </c>
      <c r="H418">
        <v>124881.67</v>
      </c>
      <c r="I418">
        <v>0.1</v>
      </c>
      <c r="J418">
        <v>374645.01</v>
      </c>
      <c r="K418">
        <v>37464.5</v>
      </c>
      <c r="L418">
        <v>0.1</v>
      </c>
      <c r="M418">
        <v>33718.050000000003</v>
      </c>
      <c r="N418">
        <v>370898.56</v>
      </c>
      <c r="O418" t="s">
        <v>25</v>
      </c>
    </row>
    <row r="419" spans="1:15" x14ac:dyDescent="0.35">
      <c r="A419" t="s">
        <v>472</v>
      </c>
      <c r="B419" s="2">
        <v>46182</v>
      </c>
      <c r="C419" t="s">
        <v>52</v>
      </c>
      <c r="D419" t="s">
        <v>53</v>
      </c>
      <c r="E419" t="s">
        <v>54</v>
      </c>
      <c r="F419" t="s">
        <v>50</v>
      </c>
      <c r="G419">
        <v>3</v>
      </c>
      <c r="H419">
        <v>94730.64</v>
      </c>
      <c r="I419">
        <v>0</v>
      </c>
      <c r="J419">
        <v>284191.92</v>
      </c>
      <c r="K419">
        <v>0</v>
      </c>
      <c r="L419">
        <v>7.4999999999999997E-2</v>
      </c>
      <c r="M419">
        <v>21314.39</v>
      </c>
      <c r="N419">
        <v>305506.31</v>
      </c>
      <c r="O419" t="s">
        <v>35</v>
      </c>
    </row>
    <row r="420" spans="1:15" x14ac:dyDescent="0.35">
      <c r="A420" t="s">
        <v>473</v>
      </c>
      <c r="B420" s="2">
        <v>46123</v>
      </c>
      <c r="C420" t="s">
        <v>56</v>
      </c>
      <c r="D420" t="s">
        <v>57</v>
      </c>
      <c r="E420" t="s">
        <v>58</v>
      </c>
      <c r="F420" t="s">
        <v>19</v>
      </c>
      <c r="G420">
        <v>3</v>
      </c>
      <c r="H420">
        <v>23711.07</v>
      </c>
      <c r="I420">
        <v>0.15</v>
      </c>
      <c r="J420">
        <v>71133.210000000006</v>
      </c>
      <c r="K420">
        <v>10669.98</v>
      </c>
      <c r="L420">
        <v>0.1</v>
      </c>
      <c r="M420">
        <v>6046.32</v>
      </c>
      <c r="N420">
        <v>66509.55</v>
      </c>
      <c r="O420" t="s">
        <v>35</v>
      </c>
    </row>
    <row r="421" spans="1:15" x14ac:dyDescent="0.35">
      <c r="A421" t="s">
        <v>474</v>
      </c>
      <c r="B421" s="2">
        <v>46150</v>
      </c>
      <c r="C421" t="s">
        <v>60</v>
      </c>
      <c r="D421" t="s">
        <v>61</v>
      </c>
      <c r="E421" t="s">
        <v>62</v>
      </c>
      <c r="F421" t="s">
        <v>19</v>
      </c>
      <c r="G421">
        <v>7</v>
      </c>
      <c r="H421">
        <v>210457.09</v>
      </c>
      <c r="I421">
        <v>0</v>
      </c>
      <c r="J421">
        <v>1473199.63</v>
      </c>
      <c r="K421">
        <v>0</v>
      </c>
      <c r="L421">
        <v>7.4999999999999997E-2</v>
      </c>
      <c r="M421">
        <v>110489.97</v>
      </c>
      <c r="N421">
        <v>1583689.6</v>
      </c>
      <c r="O421" t="s">
        <v>35</v>
      </c>
    </row>
    <row r="422" spans="1:15" x14ac:dyDescent="0.35">
      <c r="A422" t="s">
        <v>475</v>
      </c>
      <c r="B422" s="2">
        <v>46204</v>
      </c>
      <c r="C422" t="s">
        <v>16</v>
      </c>
      <c r="D422" t="s">
        <v>17</v>
      </c>
      <c r="E422" t="s">
        <v>18</v>
      </c>
      <c r="F422" t="s">
        <v>19</v>
      </c>
      <c r="G422">
        <v>4</v>
      </c>
      <c r="H422">
        <v>666195.26</v>
      </c>
      <c r="I422">
        <v>0.05</v>
      </c>
      <c r="J422">
        <v>2664781.04</v>
      </c>
      <c r="K422">
        <v>133239.04999999999</v>
      </c>
      <c r="L422">
        <v>7.4999999999999997E-2</v>
      </c>
      <c r="M422">
        <v>189865.65</v>
      </c>
      <c r="N422">
        <v>2721407.64</v>
      </c>
      <c r="O422" t="s">
        <v>35</v>
      </c>
    </row>
    <row r="423" spans="1:15" x14ac:dyDescent="0.35">
      <c r="A423" t="s">
        <v>476</v>
      </c>
      <c r="B423" s="2">
        <v>46253</v>
      </c>
      <c r="C423" t="s">
        <v>22</v>
      </c>
      <c r="D423" t="s">
        <v>23</v>
      </c>
      <c r="E423" t="s">
        <v>24</v>
      </c>
      <c r="F423" t="s">
        <v>19</v>
      </c>
      <c r="G423">
        <v>4</v>
      </c>
      <c r="H423">
        <v>17725.82</v>
      </c>
      <c r="I423">
        <v>0.15</v>
      </c>
      <c r="J423">
        <v>70903.28</v>
      </c>
      <c r="K423">
        <v>10635.49</v>
      </c>
      <c r="L423">
        <v>7.4999999999999997E-2</v>
      </c>
      <c r="M423">
        <v>4520.08</v>
      </c>
      <c r="N423">
        <v>64787.87</v>
      </c>
      <c r="O423" t="s">
        <v>35</v>
      </c>
    </row>
    <row r="424" spans="1:15" x14ac:dyDescent="0.35">
      <c r="A424" t="s">
        <v>477</v>
      </c>
      <c r="B424" s="2">
        <v>46112</v>
      </c>
      <c r="C424" t="s">
        <v>27</v>
      </c>
      <c r="D424" t="s">
        <v>28</v>
      </c>
      <c r="E424" t="s">
        <v>29</v>
      </c>
      <c r="F424" t="s">
        <v>30</v>
      </c>
      <c r="G424">
        <v>4</v>
      </c>
      <c r="H424">
        <v>94720.85</v>
      </c>
      <c r="I424">
        <v>0.1</v>
      </c>
      <c r="J424">
        <v>378883.4</v>
      </c>
      <c r="K424">
        <v>37888.339999999997</v>
      </c>
      <c r="L424">
        <v>7.4999999999999997E-2</v>
      </c>
      <c r="M424">
        <v>25574.63</v>
      </c>
      <c r="N424">
        <v>366569.69</v>
      </c>
      <c r="O424" t="s">
        <v>25</v>
      </c>
    </row>
    <row r="425" spans="1:15" x14ac:dyDescent="0.35">
      <c r="A425" t="s">
        <v>478</v>
      </c>
      <c r="B425" s="2">
        <v>46256</v>
      </c>
      <c r="C425" t="s">
        <v>32</v>
      </c>
      <c r="D425" t="s">
        <v>33</v>
      </c>
      <c r="E425" t="s">
        <v>34</v>
      </c>
      <c r="F425" t="s">
        <v>30</v>
      </c>
      <c r="G425">
        <v>7</v>
      </c>
      <c r="H425">
        <v>11839.02</v>
      </c>
      <c r="I425">
        <v>0.1</v>
      </c>
      <c r="J425">
        <v>82873.14</v>
      </c>
      <c r="K425">
        <v>8287.31</v>
      </c>
      <c r="L425">
        <v>7.4999999999999997E-2</v>
      </c>
      <c r="M425">
        <v>5593.94</v>
      </c>
      <c r="N425">
        <v>80179.77</v>
      </c>
      <c r="O425" t="s">
        <v>35</v>
      </c>
    </row>
    <row r="426" spans="1:15" x14ac:dyDescent="0.35">
      <c r="A426" t="s">
        <v>479</v>
      </c>
      <c r="B426" s="2">
        <v>46159</v>
      </c>
      <c r="C426" t="s">
        <v>37</v>
      </c>
      <c r="D426" t="s">
        <v>38</v>
      </c>
      <c r="E426" t="s">
        <v>39</v>
      </c>
      <c r="F426" t="s">
        <v>40</v>
      </c>
      <c r="G426">
        <v>2</v>
      </c>
      <c r="H426">
        <v>154343.4</v>
      </c>
      <c r="I426">
        <v>0.15</v>
      </c>
      <c r="J426">
        <v>308686.8</v>
      </c>
      <c r="K426">
        <v>46303.02</v>
      </c>
      <c r="L426">
        <v>7.4999999999999997E-2</v>
      </c>
      <c r="M426">
        <v>19678.78</v>
      </c>
      <c r="N426">
        <v>282062.56</v>
      </c>
      <c r="O426" t="s">
        <v>35</v>
      </c>
    </row>
    <row r="427" spans="1:15" x14ac:dyDescent="0.35">
      <c r="A427" t="s">
        <v>480</v>
      </c>
      <c r="B427" s="2">
        <v>46207</v>
      </c>
      <c r="C427" t="s">
        <v>42</v>
      </c>
      <c r="D427" t="s">
        <v>43</v>
      </c>
      <c r="E427" t="s">
        <v>44</v>
      </c>
      <c r="F427" t="s">
        <v>45</v>
      </c>
      <c r="G427">
        <v>5</v>
      </c>
      <c r="H427">
        <v>89546.53</v>
      </c>
      <c r="I427">
        <v>0</v>
      </c>
      <c r="J427">
        <v>447732.65</v>
      </c>
      <c r="K427">
        <v>0</v>
      </c>
      <c r="L427">
        <v>7.4999999999999997E-2</v>
      </c>
      <c r="M427">
        <v>33579.949999999997</v>
      </c>
      <c r="N427">
        <v>481312.6</v>
      </c>
      <c r="O427" t="s">
        <v>20</v>
      </c>
    </row>
    <row r="428" spans="1:15" x14ac:dyDescent="0.35">
      <c r="A428" t="s">
        <v>481</v>
      </c>
      <c r="B428" s="2">
        <v>46214</v>
      </c>
      <c r="C428" t="s">
        <v>47</v>
      </c>
      <c r="D428" t="s">
        <v>48</v>
      </c>
      <c r="E428" t="s">
        <v>49</v>
      </c>
      <c r="F428" t="s">
        <v>50</v>
      </c>
      <c r="G428">
        <v>5</v>
      </c>
      <c r="H428">
        <v>111218.56</v>
      </c>
      <c r="I428">
        <v>0</v>
      </c>
      <c r="J428">
        <v>556092.80000000005</v>
      </c>
      <c r="K428">
        <v>0</v>
      </c>
      <c r="L428">
        <v>7.4999999999999997E-2</v>
      </c>
      <c r="M428">
        <v>41706.959999999999</v>
      </c>
      <c r="N428">
        <v>597799.76</v>
      </c>
      <c r="O428" t="s">
        <v>20</v>
      </c>
    </row>
    <row r="429" spans="1:15" x14ac:dyDescent="0.35">
      <c r="A429" t="s">
        <v>482</v>
      </c>
      <c r="B429" s="2">
        <v>46052</v>
      </c>
      <c r="C429" t="s">
        <v>52</v>
      </c>
      <c r="D429" t="s">
        <v>53</v>
      </c>
      <c r="E429" t="s">
        <v>54</v>
      </c>
      <c r="F429" t="s">
        <v>50</v>
      </c>
      <c r="G429">
        <v>5</v>
      </c>
      <c r="H429">
        <v>105509.71</v>
      </c>
      <c r="I429">
        <v>0.1</v>
      </c>
      <c r="J429">
        <v>527548.55000000005</v>
      </c>
      <c r="K429">
        <v>52754.86</v>
      </c>
      <c r="L429">
        <v>7.4999999999999997E-2</v>
      </c>
      <c r="M429">
        <v>35609.53</v>
      </c>
      <c r="N429">
        <v>510403.22</v>
      </c>
      <c r="O429" t="s">
        <v>35</v>
      </c>
    </row>
    <row r="430" spans="1:15" x14ac:dyDescent="0.35">
      <c r="A430" t="s">
        <v>483</v>
      </c>
      <c r="B430" s="2">
        <v>46258</v>
      </c>
      <c r="C430" t="s">
        <v>56</v>
      </c>
      <c r="D430" t="s">
        <v>57</v>
      </c>
      <c r="E430" t="s">
        <v>58</v>
      </c>
      <c r="F430" t="s">
        <v>19</v>
      </c>
      <c r="G430">
        <v>2</v>
      </c>
      <c r="H430">
        <v>24298.7</v>
      </c>
      <c r="I430">
        <v>0.15</v>
      </c>
      <c r="J430">
        <v>48597.4</v>
      </c>
      <c r="K430">
        <v>7289.61</v>
      </c>
      <c r="L430">
        <v>0.1</v>
      </c>
      <c r="M430">
        <v>4130.78</v>
      </c>
      <c r="N430">
        <v>45438.57</v>
      </c>
      <c r="O430" t="s">
        <v>20</v>
      </c>
    </row>
    <row r="431" spans="1:15" x14ac:dyDescent="0.35">
      <c r="A431" t="s">
        <v>484</v>
      </c>
      <c r="B431" s="2">
        <v>46047</v>
      </c>
      <c r="C431" t="s">
        <v>60</v>
      </c>
      <c r="D431" t="s">
        <v>61</v>
      </c>
      <c r="E431" t="s">
        <v>62</v>
      </c>
      <c r="F431" t="s">
        <v>19</v>
      </c>
      <c r="G431">
        <v>5</v>
      </c>
      <c r="H431">
        <v>216285.57</v>
      </c>
      <c r="I431">
        <v>0.05</v>
      </c>
      <c r="J431">
        <v>1081427.8500000001</v>
      </c>
      <c r="K431">
        <v>54071.39</v>
      </c>
      <c r="L431">
        <v>0.1</v>
      </c>
      <c r="M431">
        <v>102735.65</v>
      </c>
      <c r="N431">
        <v>1130092.1100000001</v>
      </c>
      <c r="O431" t="s">
        <v>25</v>
      </c>
    </row>
    <row r="432" spans="1:15" x14ac:dyDescent="0.35">
      <c r="A432" t="s">
        <v>485</v>
      </c>
      <c r="B432" s="2">
        <v>46163</v>
      </c>
      <c r="C432" t="s">
        <v>16</v>
      </c>
      <c r="D432" t="s">
        <v>17</v>
      </c>
      <c r="E432" t="s">
        <v>18</v>
      </c>
      <c r="F432" t="s">
        <v>19</v>
      </c>
      <c r="G432">
        <v>1</v>
      </c>
      <c r="H432">
        <v>697354.81</v>
      </c>
      <c r="I432">
        <v>0</v>
      </c>
      <c r="J432">
        <v>697354.81</v>
      </c>
      <c r="K432">
        <v>0</v>
      </c>
      <c r="L432">
        <v>0.1</v>
      </c>
      <c r="M432">
        <v>69735.48</v>
      </c>
      <c r="N432">
        <v>767090.29</v>
      </c>
      <c r="O432" t="s">
        <v>25</v>
      </c>
    </row>
    <row r="433" spans="1:15" x14ac:dyDescent="0.35">
      <c r="A433" t="s">
        <v>486</v>
      </c>
      <c r="B433" s="2">
        <v>46036</v>
      </c>
      <c r="C433" t="s">
        <v>22</v>
      </c>
      <c r="D433" t="s">
        <v>23</v>
      </c>
      <c r="E433" t="s">
        <v>24</v>
      </c>
      <c r="F433" t="s">
        <v>19</v>
      </c>
      <c r="G433">
        <v>2</v>
      </c>
      <c r="H433">
        <v>17820.3</v>
      </c>
      <c r="I433">
        <v>0</v>
      </c>
      <c r="J433">
        <v>35640.6</v>
      </c>
      <c r="K433">
        <v>0</v>
      </c>
      <c r="L433">
        <v>7.4999999999999997E-2</v>
      </c>
      <c r="M433">
        <v>2673.04</v>
      </c>
      <c r="N433">
        <v>38313.64</v>
      </c>
      <c r="O433" t="s">
        <v>25</v>
      </c>
    </row>
    <row r="434" spans="1:15" x14ac:dyDescent="0.35">
      <c r="A434" t="s">
        <v>487</v>
      </c>
      <c r="B434" s="2">
        <v>46060</v>
      </c>
      <c r="C434" t="s">
        <v>27</v>
      </c>
      <c r="D434" t="s">
        <v>28</v>
      </c>
      <c r="E434" t="s">
        <v>29</v>
      </c>
      <c r="F434" t="s">
        <v>30</v>
      </c>
      <c r="G434">
        <v>4</v>
      </c>
      <c r="H434">
        <v>99273.79</v>
      </c>
      <c r="I434">
        <v>0.15</v>
      </c>
      <c r="J434">
        <v>397095.16</v>
      </c>
      <c r="K434">
        <v>59564.27</v>
      </c>
      <c r="L434">
        <v>7.4999999999999997E-2</v>
      </c>
      <c r="M434">
        <v>25314.82</v>
      </c>
      <c r="N434">
        <v>362845.71</v>
      </c>
      <c r="O434" t="s">
        <v>35</v>
      </c>
    </row>
    <row r="435" spans="1:15" x14ac:dyDescent="0.35">
      <c r="A435" t="s">
        <v>488</v>
      </c>
      <c r="B435" s="2">
        <v>46214</v>
      </c>
      <c r="C435" t="s">
        <v>32</v>
      </c>
      <c r="D435" t="s">
        <v>33</v>
      </c>
      <c r="E435" t="s">
        <v>34</v>
      </c>
      <c r="F435" t="s">
        <v>30</v>
      </c>
      <c r="G435">
        <v>6</v>
      </c>
      <c r="H435">
        <v>12262.41</v>
      </c>
      <c r="I435">
        <v>0.1</v>
      </c>
      <c r="J435">
        <v>73574.460000000006</v>
      </c>
      <c r="K435">
        <v>7357.45</v>
      </c>
      <c r="L435">
        <v>7.4999999999999997E-2</v>
      </c>
      <c r="M435">
        <v>4966.28</v>
      </c>
      <c r="N435">
        <v>71183.289999999994</v>
      </c>
      <c r="O435" t="s">
        <v>35</v>
      </c>
    </row>
    <row r="436" spans="1:15" x14ac:dyDescent="0.35">
      <c r="A436" t="s">
        <v>489</v>
      </c>
      <c r="B436" s="2">
        <v>46219</v>
      </c>
      <c r="D436" t="s">
        <v>38</v>
      </c>
      <c r="E436" t="s">
        <v>39</v>
      </c>
      <c r="F436" t="s">
        <v>40</v>
      </c>
      <c r="G436">
        <v>5</v>
      </c>
      <c r="H436">
        <v>141604.06</v>
      </c>
      <c r="I436">
        <v>0.15</v>
      </c>
      <c r="J436">
        <v>708020.3</v>
      </c>
      <c r="K436">
        <v>106203.04</v>
      </c>
      <c r="L436">
        <v>0.1</v>
      </c>
      <c r="M436">
        <v>60181.73</v>
      </c>
      <c r="N436">
        <v>661998.99</v>
      </c>
      <c r="O436" t="s">
        <v>35</v>
      </c>
    </row>
    <row r="437" spans="1:15" x14ac:dyDescent="0.35">
      <c r="A437" t="s">
        <v>490</v>
      </c>
      <c r="B437" s="2">
        <v>46155</v>
      </c>
      <c r="C437" t="s">
        <v>42</v>
      </c>
      <c r="D437" t="s">
        <v>43</v>
      </c>
      <c r="E437" t="s">
        <v>44</v>
      </c>
      <c r="F437" t="s">
        <v>45</v>
      </c>
      <c r="G437">
        <v>5</v>
      </c>
      <c r="H437">
        <v>78717.100000000006</v>
      </c>
      <c r="I437">
        <v>0.1</v>
      </c>
      <c r="J437">
        <v>393585.5</v>
      </c>
      <c r="K437">
        <v>39358.550000000003</v>
      </c>
      <c r="L437">
        <v>7.4999999999999997E-2</v>
      </c>
      <c r="M437">
        <v>26567.02</v>
      </c>
      <c r="N437">
        <v>380793.97</v>
      </c>
      <c r="O437" t="s">
        <v>35</v>
      </c>
    </row>
    <row r="438" spans="1:15" x14ac:dyDescent="0.35">
      <c r="A438" t="s">
        <v>491</v>
      </c>
      <c r="B438" s="2">
        <v>46047</v>
      </c>
      <c r="C438" t="s">
        <v>47</v>
      </c>
      <c r="D438" t="s">
        <v>48</v>
      </c>
      <c r="E438" t="s">
        <v>49</v>
      </c>
      <c r="F438" t="s">
        <v>50</v>
      </c>
      <c r="G438">
        <v>3</v>
      </c>
      <c r="H438">
        <v>110632.48</v>
      </c>
      <c r="I438">
        <v>0</v>
      </c>
      <c r="J438">
        <v>331897.44</v>
      </c>
      <c r="K438">
        <v>0</v>
      </c>
      <c r="L438">
        <v>0.1</v>
      </c>
      <c r="M438">
        <v>33189.74</v>
      </c>
      <c r="N438">
        <v>365087.18</v>
      </c>
      <c r="O438" t="s">
        <v>35</v>
      </c>
    </row>
    <row r="439" spans="1:15" x14ac:dyDescent="0.35">
      <c r="A439" t="s">
        <v>492</v>
      </c>
      <c r="B439" s="2">
        <v>46169</v>
      </c>
      <c r="C439" t="s">
        <v>52</v>
      </c>
      <c r="D439" t="s">
        <v>53</v>
      </c>
      <c r="E439" t="s">
        <v>54</v>
      </c>
      <c r="F439" t="s">
        <v>50</v>
      </c>
      <c r="G439">
        <v>7</v>
      </c>
      <c r="H439">
        <v>96744.57</v>
      </c>
      <c r="I439">
        <v>0.1</v>
      </c>
      <c r="J439">
        <v>677211.99</v>
      </c>
      <c r="K439">
        <v>67721.2</v>
      </c>
      <c r="L439">
        <v>0.1</v>
      </c>
      <c r="M439">
        <v>60949.08</v>
      </c>
      <c r="N439">
        <v>670439.87</v>
      </c>
      <c r="O439" t="s">
        <v>25</v>
      </c>
    </row>
    <row r="440" spans="1:15" x14ac:dyDescent="0.35">
      <c r="A440" t="s">
        <v>493</v>
      </c>
      <c r="B440" s="2">
        <v>46031</v>
      </c>
      <c r="C440" t="s">
        <v>56</v>
      </c>
      <c r="D440" t="s">
        <v>57</v>
      </c>
      <c r="E440" t="s">
        <v>58</v>
      </c>
      <c r="F440" t="s">
        <v>19</v>
      </c>
      <c r="G440">
        <v>3</v>
      </c>
      <c r="H440">
        <v>23740.78</v>
      </c>
      <c r="I440">
        <v>0.1</v>
      </c>
      <c r="J440">
        <v>71222.34</v>
      </c>
      <c r="K440">
        <v>7122.23</v>
      </c>
      <c r="L440">
        <v>0.1</v>
      </c>
      <c r="M440">
        <v>6410.01</v>
      </c>
      <c r="N440">
        <v>70510.12</v>
      </c>
      <c r="O440" t="s">
        <v>35</v>
      </c>
    </row>
    <row r="441" spans="1:15" x14ac:dyDescent="0.35">
      <c r="A441" t="s">
        <v>494</v>
      </c>
      <c r="B441" s="2">
        <v>46064</v>
      </c>
      <c r="C441" t="s">
        <v>60</v>
      </c>
      <c r="D441" t="s">
        <v>61</v>
      </c>
      <c r="E441" t="s">
        <v>62</v>
      </c>
      <c r="F441" t="s">
        <v>19</v>
      </c>
      <c r="G441">
        <v>6</v>
      </c>
      <c r="H441">
        <v>229305.92</v>
      </c>
      <c r="I441">
        <v>0.15</v>
      </c>
      <c r="J441">
        <v>1375835.52</v>
      </c>
      <c r="K441">
        <v>206375.33</v>
      </c>
      <c r="L441">
        <v>0.1</v>
      </c>
      <c r="M441">
        <v>116946.02</v>
      </c>
      <c r="N441">
        <v>1286406.21</v>
      </c>
      <c r="O441" t="s">
        <v>35</v>
      </c>
    </row>
    <row r="442" spans="1:15" x14ac:dyDescent="0.35">
      <c r="A442" t="s">
        <v>495</v>
      </c>
      <c r="B442" s="2">
        <v>46130</v>
      </c>
      <c r="C442" t="s">
        <v>16</v>
      </c>
      <c r="D442" t="s">
        <v>17</v>
      </c>
      <c r="E442" t="s">
        <v>18</v>
      </c>
      <c r="F442" t="s">
        <v>19</v>
      </c>
      <c r="G442">
        <v>4</v>
      </c>
      <c r="H442">
        <v>691485.69</v>
      </c>
      <c r="I442">
        <v>0.15</v>
      </c>
      <c r="J442">
        <v>2765942.76</v>
      </c>
      <c r="K442">
        <v>414891.41</v>
      </c>
      <c r="L442">
        <v>0.1</v>
      </c>
      <c r="M442">
        <v>235105.13</v>
      </c>
      <c r="N442">
        <v>2586156.48</v>
      </c>
      <c r="O442" t="s">
        <v>20</v>
      </c>
    </row>
    <row r="443" spans="1:15" x14ac:dyDescent="0.35">
      <c r="A443" t="s">
        <v>496</v>
      </c>
      <c r="B443" s="2">
        <v>46062</v>
      </c>
      <c r="C443" t="s">
        <v>22</v>
      </c>
      <c r="D443" t="s">
        <v>23</v>
      </c>
      <c r="E443" t="s">
        <v>24</v>
      </c>
      <c r="F443" t="s">
        <v>19</v>
      </c>
      <c r="G443">
        <v>2</v>
      </c>
      <c r="H443">
        <v>18481.97</v>
      </c>
      <c r="I443">
        <v>0.1</v>
      </c>
      <c r="J443">
        <v>36963.94</v>
      </c>
      <c r="K443">
        <v>3696.39</v>
      </c>
      <c r="L443">
        <v>7.4999999999999997E-2</v>
      </c>
      <c r="M443">
        <v>2495.0700000000002</v>
      </c>
      <c r="N443">
        <v>35762.620000000003</v>
      </c>
      <c r="O443" t="s">
        <v>20</v>
      </c>
    </row>
    <row r="444" spans="1:15" x14ac:dyDescent="0.35">
      <c r="A444" t="s">
        <v>497</v>
      </c>
      <c r="B444" s="2">
        <v>46145</v>
      </c>
      <c r="C444" t="s">
        <v>27</v>
      </c>
      <c r="D444" t="s">
        <v>28</v>
      </c>
      <c r="E444" t="s">
        <v>29</v>
      </c>
      <c r="F444" t="s">
        <v>30</v>
      </c>
      <c r="G444">
        <v>6</v>
      </c>
      <c r="H444">
        <v>88452.67</v>
      </c>
      <c r="I444">
        <v>0</v>
      </c>
      <c r="J444">
        <v>530716.02</v>
      </c>
      <c r="K444">
        <v>0</v>
      </c>
      <c r="L444">
        <v>0.1</v>
      </c>
      <c r="M444">
        <v>53071.6</v>
      </c>
      <c r="N444">
        <v>583787.62</v>
      </c>
      <c r="O444" t="s">
        <v>35</v>
      </c>
    </row>
    <row r="445" spans="1:15" x14ac:dyDescent="0.35">
      <c r="A445" t="s">
        <v>498</v>
      </c>
      <c r="B445" s="2">
        <v>46117</v>
      </c>
      <c r="C445" t="s">
        <v>32</v>
      </c>
      <c r="D445" t="s">
        <v>33</v>
      </c>
      <c r="E445" t="s">
        <v>34</v>
      </c>
      <c r="F445" t="s">
        <v>30</v>
      </c>
      <c r="G445">
        <v>2</v>
      </c>
      <c r="H445">
        <v>11658.65</v>
      </c>
      <c r="I445">
        <v>0.15</v>
      </c>
      <c r="J445">
        <v>23317.3</v>
      </c>
      <c r="K445">
        <v>3497.6</v>
      </c>
      <c r="L445">
        <v>0.1</v>
      </c>
      <c r="M445">
        <v>1981.97</v>
      </c>
      <c r="N445">
        <v>21801.67</v>
      </c>
      <c r="O445" t="s">
        <v>25</v>
      </c>
    </row>
    <row r="446" spans="1:15" x14ac:dyDescent="0.35">
      <c r="A446" t="s">
        <v>499</v>
      </c>
      <c r="B446" s="2">
        <v>46170</v>
      </c>
      <c r="C446" t="s">
        <v>37</v>
      </c>
      <c r="D446" t="s">
        <v>38</v>
      </c>
      <c r="E446" t="s">
        <v>39</v>
      </c>
      <c r="F446" t="s">
        <v>40</v>
      </c>
      <c r="G446">
        <v>6</v>
      </c>
      <c r="H446">
        <v>149664.37</v>
      </c>
      <c r="I446">
        <v>0.15</v>
      </c>
      <c r="J446">
        <v>897986.22</v>
      </c>
      <c r="K446">
        <v>134697.93</v>
      </c>
      <c r="L446">
        <v>7.4999999999999997E-2</v>
      </c>
      <c r="M446">
        <v>57246.62</v>
      </c>
      <c r="N446">
        <v>820534.91</v>
      </c>
      <c r="O446" t="s">
        <v>20</v>
      </c>
    </row>
    <row r="447" spans="1:15" x14ac:dyDescent="0.35">
      <c r="A447" t="s">
        <v>500</v>
      </c>
      <c r="B447" s="2">
        <v>46043</v>
      </c>
      <c r="C447" t="s">
        <v>42</v>
      </c>
      <c r="D447" t="s">
        <v>43</v>
      </c>
      <c r="E447" t="s">
        <v>44</v>
      </c>
      <c r="F447" t="s">
        <v>45</v>
      </c>
      <c r="G447">
        <v>4</v>
      </c>
      <c r="H447">
        <v>80330.28</v>
      </c>
      <c r="I447">
        <v>0.05</v>
      </c>
      <c r="J447">
        <v>321321.12</v>
      </c>
      <c r="K447">
        <v>16066.06</v>
      </c>
      <c r="L447">
        <v>7.4999999999999997E-2</v>
      </c>
      <c r="M447">
        <v>22894.13</v>
      </c>
      <c r="N447">
        <v>328149.19</v>
      </c>
      <c r="O447" t="s">
        <v>25</v>
      </c>
    </row>
    <row r="448" spans="1:15" x14ac:dyDescent="0.35">
      <c r="A448" t="s">
        <v>501</v>
      </c>
      <c r="B448" s="2">
        <v>46104</v>
      </c>
      <c r="C448" t="s">
        <v>47</v>
      </c>
      <c r="D448" t="s">
        <v>48</v>
      </c>
      <c r="E448" t="s">
        <v>49</v>
      </c>
      <c r="F448" t="s">
        <v>50</v>
      </c>
      <c r="G448">
        <v>7</v>
      </c>
      <c r="H448">
        <v>112224.22</v>
      </c>
      <c r="I448">
        <v>0.15</v>
      </c>
      <c r="J448">
        <v>785569.54</v>
      </c>
      <c r="K448">
        <v>117835.43</v>
      </c>
      <c r="L448">
        <v>7.4999999999999997E-2</v>
      </c>
      <c r="M448">
        <v>50080.06</v>
      </c>
      <c r="N448">
        <v>717814.17</v>
      </c>
      <c r="O448" t="s">
        <v>35</v>
      </c>
    </row>
    <row r="449" spans="1:15" x14ac:dyDescent="0.35">
      <c r="A449" t="s">
        <v>502</v>
      </c>
      <c r="B449" s="2">
        <v>46238</v>
      </c>
      <c r="C449" t="s">
        <v>52</v>
      </c>
      <c r="D449" t="s">
        <v>53</v>
      </c>
      <c r="E449" t="s">
        <v>54</v>
      </c>
      <c r="F449" t="s">
        <v>50</v>
      </c>
      <c r="G449">
        <v>1</v>
      </c>
      <c r="H449">
        <v>94618.94</v>
      </c>
      <c r="I449">
        <v>0.15</v>
      </c>
      <c r="J449">
        <v>94618.94</v>
      </c>
      <c r="K449">
        <v>14192.84</v>
      </c>
      <c r="L449">
        <v>0.1</v>
      </c>
      <c r="M449">
        <v>8042.61</v>
      </c>
      <c r="N449">
        <v>88468.71</v>
      </c>
      <c r="O449" t="s">
        <v>35</v>
      </c>
    </row>
    <row r="450" spans="1:15" x14ac:dyDescent="0.35">
      <c r="A450" t="s">
        <v>503</v>
      </c>
      <c r="B450" s="2">
        <v>46253</v>
      </c>
      <c r="C450" t="s">
        <v>56</v>
      </c>
      <c r="D450" t="s">
        <v>57</v>
      </c>
      <c r="E450" t="s">
        <v>58</v>
      </c>
      <c r="F450" t="s">
        <v>19</v>
      </c>
      <c r="G450">
        <v>3</v>
      </c>
      <c r="H450">
        <v>26547.7</v>
      </c>
      <c r="I450">
        <v>0.15</v>
      </c>
      <c r="J450">
        <v>79643.100000000006</v>
      </c>
      <c r="K450">
        <v>11946.46</v>
      </c>
      <c r="L450">
        <v>7.4999999999999997E-2</v>
      </c>
      <c r="M450">
        <v>5077.25</v>
      </c>
      <c r="N450">
        <v>72773.89</v>
      </c>
      <c r="O450" t="s">
        <v>20</v>
      </c>
    </row>
    <row r="451" spans="1:15" x14ac:dyDescent="0.35">
      <c r="A451" t="s">
        <v>504</v>
      </c>
      <c r="B451" s="2">
        <v>46259</v>
      </c>
      <c r="C451" t="s">
        <v>60</v>
      </c>
      <c r="D451" t="s">
        <v>61</v>
      </c>
      <c r="E451" t="s">
        <v>62</v>
      </c>
      <c r="F451" t="s">
        <v>19</v>
      </c>
      <c r="G451">
        <v>6</v>
      </c>
      <c r="H451">
        <v>232720.22</v>
      </c>
      <c r="I451">
        <v>0</v>
      </c>
      <c r="J451">
        <v>1396321.32</v>
      </c>
      <c r="K451">
        <v>0</v>
      </c>
      <c r="L451">
        <v>0.1</v>
      </c>
      <c r="M451">
        <v>139632.13</v>
      </c>
      <c r="N451">
        <v>1535953.45</v>
      </c>
      <c r="O451" t="s">
        <v>35</v>
      </c>
    </row>
    <row r="452" spans="1:15" x14ac:dyDescent="0.35">
      <c r="A452" t="s">
        <v>505</v>
      </c>
      <c r="B452" s="2">
        <v>46162</v>
      </c>
      <c r="C452" t="s">
        <v>16</v>
      </c>
      <c r="D452" t="s">
        <v>17</v>
      </c>
      <c r="E452" t="s">
        <v>18</v>
      </c>
      <c r="F452" t="s">
        <v>19</v>
      </c>
      <c r="G452">
        <v>5</v>
      </c>
      <c r="H452">
        <v>676524.36</v>
      </c>
      <c r="I452">
        <v>0</v>
      </c>
      <c r="J452">
        <v>3382621.8</v>
      </c>
      <c r="K452">
        <v>0</v>
      </c>
      <c r="L452">
        <v>0.1</v>
      </c>
      <c r="M452">
        <v>338262.18</v>
      </c>
      <c r="N452">
        <v>3720883.98</v>
      </c>
      <c r="O452" t="s">
        <v>20</v>
      </c>
    </row>
    <row r="453" spans="1:15" x14ac:dyDescent="0.35">
      <c r="A453" t="s">
        <v>506</v>
      </c>
      <c r="B453" s="2">
        <v>46229</v>
      </c>
      <c r="C453" t="s">
        <v>22</v>
      </c>
      <c r="D453" t="s">
        <v>23</v>
      </c>
      <c r="E453" t="s">
        <v>24</v>
      </c>
      <c r="F453" t="s">
        <v>19</v>
      </c>
      <c r="G453">
        <v>6</v>
      </c>
      <c r="H453">
        <v>18796.169999999998</v>
      </c>
      <c r="I453">
        <v>0.15</v>
      </c>
      <c r="J453">
        <v>112777.02</v>
      </c>
      <c r="K453">
        <v>16916.55</v>
      </c>
      <c r="L453">
        <v>0.1</v>
      </c>
      <c r="M453">
        <v>9586.0499999999993</v>
      </c>
      <c r="N453">
        <v>105446.52</v>
      </c>
      <c r="O453" t="s">
        <v>35</v>
      </c>
    </row>
    <row r="454" spans="1:15" x14ac:dyDescent="0.35">
      <c r="A454" t="s">
        <v>507</v>
      </c>
      <c r="B454" s="2">
        <v>46055</v>
      </c>
      <c r="C454" t="s">
        <v>27</v>
      </c>
      <c r="D454" t="s">
        <v>28</v>
      </c>
      <c r="E454" t="s">
        <v>29</v>
      </c>
      <c r="F454" t="s">
        <v>30</v>
      </c>
      <c r="G454">
        <v>6</v>
      </c>
      <c r="H454">
        <v>102366.98</v>
      </c>
      <c r="I454">
        <v>0.05</v>
      </c>
      <c r="J454">
        <v>614201.88</v>
      </c>
      <c r="K454">
        <v>30710.09</v>
      </c>
      <c r="L454">
        <v>0.1</v>
      </c>
      <c r="M454">
        <v>58349.18</v>
      </c>
      <c r="N454">
        <v>641840.97</v>
      </c>
      <c r="O454" t="s">
        <v>20</v>
      </c>
    </row>
    <row r="455" spans="1:15" x14ac:dyDescent="0.35">
      <c r="A455" t="s">
        <v>508</v>
      </c>
      <c r="B455" s="2">
        <v>46053</v>
      </c>
      <c r="C455" t="s">
        <v>32</v>
      </c>
      <c r="D455" t="s">
        <v>33</v>
      </c>
      <c r="E455" t="s">
        <v>34</v>
      </c>
      <c r="F455" t="s">
        <v>30</v>
      </c>
      <c r="G455">
        <v>2</v>
      </c>
      <c r="H455">
        <v>11292.92</v>
      </c>
      <c r="I455">
        <v>0.1</v>
      </c>
      <c r="J455">
        <v>22585.84</v>
      </c>
      <c r="K455">
        <v>2258.58</v>
      </c>
      <c r="L455">
        <v>0.1</v>
      </c>
      <c r="M455">
        <v>2032.73</v>
      </c>
      <c r="N455">
        <v>22359.99</v>
      </c>
      <c r="O455" t="s">
        <v>25</v>
      </c>
    </row>
    <row r="456" spans="1:15" x14ac:dyDescent="0.35">
      <c r="A456" t="s">
        <v>509</v>
      </c>
      <c r="B456" s="2">
        <v>46231</v>
      </c>
      <c r="C456" t="s">
        <v>37</v>
      </c>
      <c r="D456" t="s">
        <v>38</v>
      </c>
      <c r="E456" t="s">
        <v>39</v>
      </c>
      <c r="F456" t="s">
        <v>40</v>
      </c>
      <c r="G456">
        <v>7</v>
      </c>
      <c r="H456">
        <v>150140.46</v>
      </c>
      <c r="I456">
        <v>0.15</v>
      </c>
      <c r="J456">
        <v>1050983.22</v>
      </c>
      <c r="K456">
        <v>157647.48000000001</v>
      </c>
      <c r="L456">
        <v>0.1</v>
      </c>
      <c r="M456">
        <v>89333.57</v>
      </c>
      <c r="N456">
        <v>982669.31</v>
      </c>
      <c r="O456" t="s">
        <v>35</v>
      </c>
    </row>
    <row r="457" spans="1:15" x14ac:dyDescent="0.35">
      <c r="A457" t="s">
        <v>510</v>
      </c>
      <c r="B457" s="2">
        <v>46217</v>
      </c>
      <c r="C457" t="s">
        <v>42</v>
      </c>
      <c r="D457" t="s">
        <v>43</v>
      </c>
      <c r="E457" t="s">
        <v>44</v>
      </c>
      <c r="F457" t="s">
        <v>45</v>
      </c>
      <c r="G457">
        <v>5</v>
      </c>
      <c r="H457">
        <v>86228.73</v>
      </c>
      <c r="I457">
        <v>0.15</v>
      </c>
      <c r="J457">
        <v>431143.65</v>
      </c>
      <c r="K457">
        <v>64671.55</v>
      </c>
      <c r="L457">
        <v>7.4999999999999997E-2</v>
      </c>
      <c r="M457">
        <v>27485.41</v>
      </c>
      <c r="N457">
        <v>393957.51</v>
      </c>
      <c r="O457" t="s">
        <v>35</v>
      </c>
    </row>
    <row r="458" spans="1:15" x14ac:dyDescent="0.35">
      <c r="A458" t="s">
        <v>511</v>
      </c>
      <c r="B458" s="2">
        <v>46137</v>
      </c>
      <c r="C458" t="s">
        <v>47</v>
      </c>
      <c r="D458" t="s">
        <v>48</v>
      </c>
      <c r="E458" t="s">
        <v>49</v>
      </c>
      <c r="F458" t="s">
        <v>50</v>
      </c>
      <c r="G458">
        <v>7</v>
      </c>
      <c r="H458">
        <v>123626.6</v>
      </c>
      <c r="I458">
        <v>0.1</v>
      </c>
      <c r="J458">
        <v>865386.2</v>
      </c>
      <c r="K458">
        <v>86538.62</v>
      </c>
      <c r="L458">
        <v>0.1</v>
      </c>
      <c r="M458">
        <v>77884.759999999995</v>
      </c>
      <c r="N458">
        <v>856732.34</v>
      </c>
      <c r="O458" t="s">
        <v>25</v>
      </c>
    </row>
    <row r="459" spans="1:15" x14ac:dyDescent="0.35">
      <c r="A459" t="s">
        <v>512</v>
      </c>
      <c r="B459" s="2">
        <v>46170</v>
      </c>
      <c r="C459" t="s">
        <v>52</v>
      </c>
      <c r="D459" t="s">
        <v>53</v>
      </c>
      <c r="E459" t="s">
        <v>54</v>
      </c>
      <c r="F459" t="s">
        <v>50</v>
      </c>
      <c r="G459">
        <v>5</v>
      </c>
      <c r="H459">
        <v>94561.15</v>
      </c>
      <c r="I459">
        <v>0.05</v>
      </c>
      <c r="J459">
        <v>472805.75</v>
      </c>
      <c r="K459">
        <v>23640.29</v>
      </c>
      <c r="L459">
        <v>0.1</v>
      </c>
      <c r="M459">
        <v>44916.55</v>
      </c>
      <c r="N459">
        <v>494082.01</v>
      </c>
      <c r="O459" t="s">
        <v>20</v>
      </c>
    </row>
    <row r="460" spans="1:15" x14ac:dyDescent="0.35">
      <c r="A460" t="s">
        <v>513</v>
      </c>
      <c r="B460" s="2">
        <v>46130</v>
      </c>
      <c r="C460" t="s">
        <v>56</v>
      </c>
      <c r="D460" t="s">
        <v>57</v>
      </c>
      <c r="E460" t="s">
        <v>58</v>
      </c>
      <c r="F460" t="s">
        <v>19</v>
      </c>
      <c r="G460">
        <v>4</v>
      </c>
      <c r="H460">
        <v>25905.85</v>
      </c>
      <c r="I460">
        <v>0</v>
      </c>
      <c r="J460">
        <v>103623.4</v>
      </c>
      <c r="K460">
        <v>0</v>
      </c>
      <c r="L460">
        <v>0.1</v>
      </c>
      <c r="M460">
        <v>10362.34</v>
      </c>
      <c r="N460">
        <v>113985.74</v>
      </c>
      <c r="O460" t="s">
        <v>35</v>
      </c>
    </row>
    <row r="461" spans="1:15" x14ac:dyDescent="0.35">
      <c r="A461" t="s">
        <v>514</v>
      </c>
      <c r="B461" s="2">
        <v>46175</v>
      </c>
      <c r="C461" t="s">
        <v>60</v>
      </c>
      <c r="D461" t="s">
        <v>61</v>
      </c>
      <c r="E461" t="s">
        <v>62</v>
      </c>
      <c r="F461" t="s">
        <v>19</v>
      </c>
      <c r="G461">
        <v>2</v>
      </c>
      <c r="H461">
        <v>225546.12</v>
      </c>
      <c r="I461">
        <v>0</v>
      </c>
      <c r="J461">
        <v>451092.24</v>
      </c>
      <c r="K461">
        <v>0</v>
      </c>
      <c r="L461">
        <v>0.1</v>
      </c>
      <c r="M461">
        <v>45109.22</v>
      </c>
      <c r="N461">
        <v>496201.46</v>
      </c>
      <c r="O461" t="s">
        <v>20</v>
      </c>
    </row>
    <row r="462" spans="1:15" x14ac:dyDescent="0.35">
      <c r="A462" t="s">
        <v>515</v>
      </c>
      <c r="B462" s="2">
        <v>46138</v>
      </c>
      <c r="C462" t="s">
        <v>16</v>
      </c>
      <c r="D462" t="s">
        <v>17</v>
      </c>
      <c r="E462" t="s">
        <v>18</v>
      </c>
      <c r="F462" t="s">
        <v>19</v>
      </c>
      <c r="G462">
        <v>7</v>
      </c>
      <c r="H462">
        <v>661957.74</v>
      </c>
      <c r="I462">
        <v>0.05</v>
      </c>
      <c r="J462">
        <v>4633704.18</v>
      </c>
      <c r="K462">
        <v>231685.21</v>
      </c>
      <c r="L462">
        <v>7.4999999999999997E-2</v>
      </c>
      <c r="M462">
        <v>330151.42</v>
      </c>
      <c r="N462">
        <v>4732170.3899999997</v>
      </c>
      <c r="O462" t="s">
        <v>20</v>
      </c>
    </row>
    <row r="463" spans="1:15" x14ac:dyDescent="0.35">
      <c r="A463" t="s">
        <v>516</v>
      </c>
      <c r="B463" s="2">
        <v>46084</v>
      </c>
      <c r="C463" t="s">
        <v>22</v>
      </c>
      <c r="D463" t="s">
        <v>23</v>
      </c>
      <c r="E463" t="s">
        <v>24</v>
      </c>
      <c r="F463" t="s">
        <v>19</v>
      </c>
      <c r="G463">
        <v>4</v>
      </c>
      <c r="H463">
        <v>18069.580000000002</v>
      </c>
      <c r="I463">
        <v>0.05</v>
      </c>
      <c r="J463">
        <v>72278.320000000007</v>
      </c>
      <c r="K463">
        <v>3613.92</v>
      </c>
      <c r="L463">
        <v>0.1</v>
      </c>
      <c r="M463">
        <v>6866.44</v>
      </c>
      <c r="N463">
        <v>75530.84</v>
      </c>
      <c r="O463" t="s">
        <v>35</v>
      </c>
    </row>
    <row r="464" spans="1:15" x14ac:dyDescent="0.35">
      <c r="A464" t="s">
        <v>517</v>
      </c>
      <c r="B464" s="2">
        <v>46207</v>
      </c>
      <c r="C464" t="s">
        <v>27</v>
      </c>
      <c r="D464" t="s">
        <v>28</v>
      </c>
      <c r="E464" t="s">
        <v>29</v>
      </c>
      <c r="F464" t="s">
        <v>30</v>
      </c>
      <c r="G464">
        <v>1</v>
      </c>
      <c r="H464">
        <v>87567.679999999993</v>
      </c>
      <c r="I464">
        <v>0</v>
      </c>
      <c r="J464">
        <v>87567.679999999993</v>
      </c>
      <c r="K464">
        <v>0</v>
      </c>
      <c r="L464">
        <v>0.1</v>
      </c>
      <c r="M464">
        <v>8756.77</v>
      </c>
      <c r="N464">
        <v>96324.45</v>
      </c>
      <c r="O464" t="s">
        <v>35</v>
      </c>
    </row>
    <row r="465" spans="1:15" x14ac:dyDescent="0.35">
      <c r="A465" t="s">
        <v>518</v>
      </c>
      <c r="B465" s="2">
        <v>46096</v>
      </c>
      <c r="C465" t="s">
        <v>32</v>
      </c>
      <c r="D465" t="s">
        <v>33</v>
      </c>
      <c r="E465" t="s">
        <v>34</v>
      </c>
      <c r="F465" t="s">
        <v>30</v>
      </c>
      <c r="G465">
        <v>3</v>
      </c>
      <c r="H465">
        <v>12492.03</v>
      </c>
      <c r="I465">
        <v>0.1</v>
      </c>
      <c r="J465">
        <v>37476.089999999997</v>
      </c>
      <c r="K465">
        <v>3747.61</v>
      </c>
      <c r="L465">
        <v>7.4999999999999997E-2</v>
      </c>
      <c r="M465">
        <v>2529.64</v>
      </c>
      <c r="N465">
        <v>36258.120000000003</v>
      </c>
      <c r="O465" t="s">
        <v>25</v>
      </c>
    </row>
    <row r="466" spans="1:15" x14ac:dyDescent="0.35">
      <c r="A466" t="s">
        <v>519</v>
      </c>
      <c r="B466" s="2">
        <v>46158</v>
      </c>
      <c r="C466" t="s">
        <v>37</v>
      </c>
      <c r="D466" t="s">
        <v>38</v>
      </c>
      <c r="E466" t="s">
        <v>39</v>
      </c>
      <c r="F466" t="s">
        <v>40</v>
      </c>
      <c r="G466">
        <v>5</v>
      </c>
      <c r="H466">
        <v>140993.14000000001</v>
      </c>
      <c r="I466">
        <v>0.1</v>
      </c>
      <c r="J466">
        <v>704965.7</v>
      </c>
      <c r="K466">
        <v>70496.570000000007</v>
      </c>
      <c r="L466">
        <v>7.4999999999999997E-2</v>
      </c>
      <c r="M466">
        <v>47585.18</v>
      </c>
      <c r="N466">
        <v>682054.31</v>
      </c>
      <c r="O466" t="s">
        <v>20</v>
      </c>
    </row>
    <row r="467" spans="1:15" x14ac:dyDescent="0.35">
      <c r="A467" t="s">
        <v>520</v>
      </c>
      <c r="B467" s="2">
        <v>46239</v>
      </c>
      <c r="C467" t="s">
        <v>42</v>
      </c>
      <c r="D467" t="s">
        <v>43</v>
      </c>
      <c r="E467" t="s">
        <v>44</v>
      </c>
      <c r="F467" t="s">
        <v>45</v>
      </c>
      <c r="G467">
        <v>6</v>
      </c>
      <c r="H467">
        <v>86265.4</v>
      </c>
      <c r="I467">
        <v>0</v>
      </c>
      <c r="J467">
        <v>517592.4</v>
      </c>
      <c r="K467">
        <v>0</v>
      </c>
      <c r="L467">
        <v>0.1</v>
      </c>
      <c r="M467">
        <v>51759.24</v>
      </c>
      <c r="N467">
        <v>569351.64</v>
      </c>
      <c r="O467" t="s">
        <v>35</v>
      </c>
    </row>
    <row r="468" spans="1:15" x14ac:dyDescent="0.35">
      <c r="A468" t="s">
        <v>521</v>
      </c>
      <c r="B468" s="2">
        <v>46030</v>
      </c>
      <c r="C468" t="s">
        <v>47</v>
      </c>
      <c r="D468" t="s">
        <v>48</v>
      </c>
      <c r="E468" t="s">
        <v>49</v>
      </c>
      <c r="F468" t="s">
        <v>50</v>
      </c>
      <c r="G468">
        <v>7</v>
      </c>
      <c r="H468">
        <v>110461.79</v>
      </c>
      <c r="I468">
        <v>0.05</v>
      </c>
      <c r="J468">
        <v>773232.53</v>
      </c>
      <c r="K468">
        <v>38661.629999999997</v>
      </c>
      <c r="L468">
        <v>0.1</v>
      </c>
      <c r="M468">
        <v>73457.09</v>
      </c>
      <c r="N468">
        <v>808027.99</v>
      </c>
      <c r="O468" t="s">
        <v>35</v>
      </c>
    </row>
    <row r="469" spans="1:15" x14ac:dyDescent="0.35">
      <c r="A469" t="s">
        <v>522</v>
      </c>
      <c r="B469" s="2">
        <v>46030</v>
      </c>
      <c r="C469" t="s">
        <v>52</v>
      </c>
      <c r="D469" t="s">
        <v>53</v>
      </c>
      <c r="E469" t="s">
        <v>54</v>
      </c>
      <c r="F469" t="s">
        <v>50</v>
      </c>
      <c r="G469">
        <v>5</v>
      </c>
      <c r="H469">
        <v>93487.85</v>
      </c>
      <c r="I469">
        <v>0.1</v>
      </c>
      <c r="J469">
        <v>467439.25</v>
      </c>
      <c r="K469">
        <v>46743.92</v>
      </c>
      <c r="L469">
        <v>7.4999999999999997E-2</v>
      </c>
      <c r="M469">
        <v>31552.15</v>
      </c>
      <c r="N469">
        <v>452247.48</v>
      </c>
      <c r="O469" t="s">
        <v>35</v>
      </c>
    </row>
    <row r="470" spans="1:15" x14ac:dyDescent="0.35">
      <c r="A470" t="s">
        <v>523</v>
      </c>
      <c r="B470" s="2">
        <v>46081</v>
      </c>
      <c r="C470" t="s">
        <v>56</v>
      </c>
      <c r="D470" t="s">
        <v>57</v>
      </c>
      <c r="E470" t="s">
        <v>58</v>
      </c>
      <c r="F470" t="s">
        <v>19</v>
      </c>
      <c r="G470">
        <v>3</v>
      </c>
      <c r="H470">
        <v>23259.41</v>
      </c>
      <c r="I470">
        <v>0.15</v>
      </c>
      <c r="J470">
        <v>69778.23</v>
      </c>
      <c r="K470">
        <v>10466.73</v>
      </c>
      <c r="L470">
        <v>0.1</v>
      </c>
      <c r="M470">
        <v>5931.15</v>
      </c>
      <c r="N470">
        <v>65242.65</v>
      </c>
      <c r="O470" t="s">
        <v>20</v>
      </c>
    </row>
    <row r="471" spans="1:15" x14ac:dyDescent="0.35">
      <c r="A471" t="s">
        <v>524</v>
      </c>
      <c r="B471" s="2">
        <v>46173</v>
      </c>
      <c r="C471" t="s">
        <v>60</v>
      </c>
      <c r="D471" t="s">
        <v>61</v>
      </c>
      <c r="E471" t="s">
        <v>62</v>
      </c>
      <c r="F471" t="s">
        <v>19</v>
      </c>
      <c r="G471">
        <v>6</v>
      </c>
      <c r="H471">
        <v>219528.24</v>
      </c>
      <c r="I471">
        <v>0.05</v>
      </c>
      <c r="J471">
        <v>1317169.44</v>
      </c>
      <c r="K471">
        <v>65858.47</v>
      </c>
      <c r="L471">
        <v>0.1</v>
      </c>
      <c r="M471">
        <v>125131.1</v>
      </c>
      <c r="N471">
        <v>1376442.07</v>
      </c>
      <c r="O471" t="s">
        <v>35</v>
      </c>
    </row>
    <row r="472" spans="1:15" x14ac:dyDescent="0.35">
      <c r="A472" t="s">
        <v>525</v>
      </c>
      <c r="B472" s="2">
        <v>46237</v>
      </c>
      <c r="C472" t="s">
        <v>16</v>
      </c>
      <c r="D472" t="s">
        <v>17</v>
      </c>
      <c r="E472" t="s">
        <v>18</v>
      </c>
      <c r="F472" t="s">
        <v>19</v>
      </c>
      <c r="G472">
        <v>4</v>
      </c>
      <c r="H472">
        <v>631499.23</v>
      </c>
      <c r="I472">
        <v>0.1</v>
      </c>
      <c r="J472">
        <v>2525996.92</v>
      </c>
      <c r="K472">
        <v>252599.69</v>
      </c>
      <c r="L472">
        <v>0.1</v>
      </c>
      <c r="M472">
        <v>227339.72</v>
      </c>
      <c r="N472">
        <v>2500736.9500000002</v>
      </c>
      <c r="O472" t="s">
        <v>35</v>
      </c>
    </row>
    <row r="473" spans="1:15" x14ac:dyDescent="0.35">
      <c r="A473" t="s">
        <v>526</v>
      </c>
      <c r="B473" s="2">
        <v>46143</v>
      </c>
      <c r="C473" t="s">
        <v>22</v>
      </c>
      <c r="D473" t="s">
        <v>23</v>
      </c>
      <c r="E473" t="s">
        <v>24</v>
      </c>
      <c r="F473" t="s">
        <v>19</v>
      </c>
      <c r="G473">
        <v>5</v>
      </c>
      <c r="H473">
        <v>18708.259999999998</v>
      </c>
      <c r="I473">
        <v>0.05</v>
      </c>
      <c r="J473">
        <v>93541.3</v>
      </c>
      <c r="K473">
        <v>4677.07</v>
      </c>
      <c r="L473">
        <v>0.1</v>
      </c>
      <c r="M473">
        <v>8886.42</v>
      </c>
      <c r="N473">
        <v>97750.65</v>
      </c>
      <c r="O473" t="s">
        <v>20</v>
      </c>
    </row>
    <row r="474" spans="1:15" x14ac:dyDescent="0.35">
      <c r="A474" t="s">
        <v>527</v>
      </c>
      <c r="B474" s="2">
        <v>46209</v>
      </c>
      <c r="C474" t="s">
        <v>27</v>
      </c>
      <c r="D474" t="s">
        <v>28</v>
      </c>
      <c r="E474" t="s">
        <v>29</v>
      </c>
      <c r="F474" t="s">
        <v>30</v>
      </c>
      <c r="G474">
        <v>3</v>
      </c>
      <c r="H474">
        <v>94091.02</v>
      </c>
      <c r="I474">
        <v>0.15</v>
      </c>
      <c r="J474">
        <v>282273.06</v>
      </c>
      <c r="K474">
        <v>42340.959999999999</v>
      </c>
      <c r="L474">
        <v>0.1</v>
      </c>
      <c r="M474">
        <v>23993.21</v>
      </c>
      <c r="N474">
        <v>263925.31</v>
      </c>
      <c r="O474" t="s">
        <v>20</v>
      </c>
    </row>
    <row r="475" spans="1:15" x14ac:dyDescent="0.35">
      <c r="A475" t="s">
        <v>528</v>
      </c>
      <c r="B475" s="2">
        <v>46246</v>
      </c>
      <c r="C475" t="s">
        <v>32</v>
      </c>
      <c r="D475" t="s">
        <v>33</v>
      </c>
      <c r="E475" t="s">
        <v>34</v>
      </c>
      <c r="F475" t="s">
        <v>30</v>
      </c>
      <c r="G475">
        <v>1</v>
      </c>
      <c r="H475">
        <v>11210.11</v>
      </c>
      <c r="I475">
        <v>0.15</v>
      </c>
      <c r="J475">
        <v>11210.11</v>
      </c>
      <c r="K475">
        <v>1681.52</v>
      </c>
      <c r="L475">
        <v>7.4999999999999997E-2</v>
      </c>
      <c r="M475">
        <v>714.64</v>
      </c>
      <c r="N475">
        <v>10243.23</v>
      </c>
      <c r="O475" t="s">
        <v>20</v>
      </c>
    </row>
    <row r="476" spans="1:15" x14ac:dyDescent="0.35">
      <c r="A476" t="s">
        <v>529</v>
      </c>
      <c r="B476" s="2">
        <v>46187</v>
      </c>
      <c r="C476" t="s">
        <v>37</v>
      </c>
      <c r="D476" t="s">
        <v>38</v>
      </c>
      <c r="E476" t="s">
        <v>39</v>
      </c>
      <c r="F476" t="s">
        <v>40</v>
      </c>
      <c r="G476">
        <v>3</v>
      </c>
      <c r="H476">
        <v>155606.78</v>
      </c>
      <c r="I476">
        <v>0.05</v>
      </c>
      <c r="J476">
        <v>466820.34</v>
      </c>
      <c r="K476">
        <v>23341.02</v>
      </c>
      <c r="L476">
        <v>7.4999999999999997E-2</v>
      </c>
      <c r="M476">
        <v>33260.949999999997</v>
      </c>
      <c r="N476">
        <v>476740.27</v>
      </c>
      <c r="O476" t="s">
        <v>35</v>
      </c>
    </row>
    <row r="477" spans="1:15" x14ac:dyDescent="0.35">
      <c r="A477" t="s">
        <v>530</v>
      </c>
      <c r="B477" s="2">
        <v>46169</v>
      </c>
      <c r="C477" t="s">
        <v>42</v>
      </c>
      <c r="D477" t="s">
        <v>43</v>
      </c>
      <c r="E477" t="s">
        <v>44</v>
      </c>
      <c r="F477" t="s">
        <v>45</v>
      </c>
      <c r="G477">
        <v>4</v>
      </c>
      <c r="H477">
        <v>84947.86</v>
      </c>
      <c r="I477">
        <v>0.1</v>
      </c>
      <c r="J477">
        <v>339791.44</v>
      </c>
      <c r="K477">
        <v>33979.14</v>
      </c>
      <c r="L477">
        <v>7.4999999999999997E-2</v>
      </c>
      <c r="M477">
        <v>22935.919999999998</v>
      </c>
      <c r="N477">
        <v>328748.21999999997</v>
      </c>
      <c r="O477" t="s">
        <v>35</v>
      </c>
    </row>
    <row r="478" spans="1:15" x14ac:dyDescent="0.35">
      <c r="A478" t="s">
        <v>531</v>
      </c>
      <c r="B478" s="2">
        <v>46116</v>
      </c>
      <c r="C478" t="s">
        <v>47</v>
      </c>
      <c r="D478" t="s">
        <v>48</v>
      </c>
      <c r="E478" t="s">
        <v>49</v>
      </c>
      <c r="F478" t="s">
        <v>50</v>
      </c>
      <c r="G478">
        <v>6</v>
      </c>
      <c r="H478">
        <v>124746.62</v>
      </c>
      <c r="I478">
        <v>0.1</v>
      </c>
      <c r="J478">
        <v>748479.72</v>
      </c>
      <c r="K478">
        <v>74847.97</v>
      </c>
      <c r="L478">
        <v>7.4999999999999997E-2</v>
      </c>
      <c r="M478">
        <v>50522.38</v>
      </c>
      <c r="N478">
        <v>724154.13</v>
      </c>
      <c r="O478" t="s">
        <v>20</v>
      </c>
    </row>
    <row r="479" spans="1:15" x14ac:dyDescent="0.35">
      <c r="A479" t="s">
        <v>532</v>
      </c>
      <c r="B479" s="2">
        <v>46029</v>
      </c>
      <c r="C479" t="s">
        <v>52</v>
      </c>
      <c r="D479" t="s">
        <v>53</v>
      </c>
      <c r="E479" t="s">
        <v>54</v>
      </c>
      <c r="F479" t="s">
        <v>50</v>
      </c>
      <c r="G479">
        <v>1</v>
      </c>
      <c r="H479">
        <v>101048.8</v>
      </c>
      <c r="I479">
        <v>0.05</v>
      </c>
      <c r="J479">
        <v>101048.8</v>
      </c>
      <c r="K479">
        <v>5052.4399999999996</v>
      </c>
      <c r="L479">
        <v>0.1</v>
      </c>
      <c r="M479">
        <v>9599.64</v>
      </c>
      <c r="N479">
        <v>105596</v>
      </c>
      <c r="O479" t="s">
        <v>35</v>
      </c>
    </row>
    <row r="480" spans="1:15" x14ac:dyDescent="0.35">
      <c r="A480" t="s">
        <v>533</v>
      </c>
      <c r="B480" s="2">
        <v>46224</v>
      </c>
      <c r="C480" t="s">
        <v>56</v>
      </c>
      <c r="D480" t="s">
        <v>57</v>
      </c>
      <c r="E480" t="s">
        <v>58</v>
      </c>
      <c r="F480" t="s">
        <v>19</v>
      </c>
      <c r="G480">
        <v>1</v>
      </c>
      <c r="H480">
        <v>25343.24</v>
      </c>
      <c r="I480">
        <v>0.05</v>
      </c>
      <c r="J480">
        <v>25343.24</v>
      </c>
      <c r="K480">
        <v>1267.1600000000001</v>
      </c>
      <c r="L480">
        <v>7.4999999999999997E-2</v>
      </c>
      <c r="M480">
        <v>1805.71</v>
      </c>
      <c r="N480">
        <v>25881.79</v>
      </c>
      <c r="O480" t="s">
        <v>35</v>
      </c>
    </row>
    <row r="481" spans="1:15" x14ac:dyDescent="0.35">
      <c r="A481" t="s">
        <v>534</v>
      </c>
      <c r="B481" s="2">
        <v>46061</v>
      </c>
      <c r="C481" t="s">
        <v>60</v>
      </c>
      <c r="D481" t="s">
        <v>61</v>
      </c>
      <c r="E481" t="s">
        <v>62</v>
      </c>
      <c r="F481" t="s">
        <v>19</v>
      </c>
      <c r="G481">
        <v>5</v>
      </c>
      <c r="H481">
        <v>229946.88</v>
      </c>
      <c r="I481">
        <v>0.1</v>
      </c>
      <c r="J481">
        <v>1149734.3999999999</v>
      </c>
      <c r="K481">
        <v>114973.44</v>
      </c>
      <c r="L481">
        <v>0.1</v>
      </c>
      <c r="M481">
        <v>103476.1</v>
      </c>
      <c r="N481" s="12">
        <v>1138237.06</v>
      </c>
      <c r="O481" t="s">
        <v>35</v>
      </c>
    </row>
    <row r="482" spans="1:15" x14ac:dyDescent="0.35">
      <c r="A482" t="s">
        <v>535</v>
      </c>
      <c r="B482" s="2">
        <v>46238</v>
      </c>
      <c r="C482" t="s">
        <v>16</v>
      </c>
      <c r="D482" t="s">
        <v>17</v>
      </c>
      <c r="E482" t="s">
        <v>18</v>
      </c>
      <c r="F482" t="s">
        <v>19</v>
      </c>
      <c r="G482">
        <v>3</v>
      </c>
      <c r="H482">
        <v>637199.06999999995</v>
      </c>
      <c r="I482">
        <v>0.15</v>
      </c>
      <c r="J482">
        <v>1911597.21</v>
      </c>
      <c r="K482">
        <v>286739.58</v>
      </c>
      <c r="L482">
        <v>7.4999999999999997E-2</v>
      </c>
      <c r="M482">
        <v>121864.32000000001</v>
      </c>
      <c r="N482">
        <v>1746721.95</v>
      </c>
      <c r="O482" t="s">
        <v>20</v>
      </c>
    </row>
    <row r="483" spans="1:15" x14ac:dyDescent="0.35">
      <c r="A483" t="s">
        <v>536</v>
      </c>
      <c r="B483" s="2">
        <v>46116</v>
      </c>
      <c r="C483" t="s">
        <v>22</v>
      </c>
      <c r="D483" t="s">
        <v>23</v>
      </c>
      <c r="E483" t="s">
        <v>24</v>
      </c>
      <c r="F483" t="s">
        <v>19</v>
      </c>
      <c r="G483">
        <v>2</v>
      </c>
      <c r="H483">
        <v>19259.580000000002</v>
      </c>
      <c r="I483">
        <v>0.15</v>
      </c>
      <c r="J483">
        <v>38519.160000000003</v>
      </c>
      <c r="K483">
        <v>5777.87</v>
      </c>
      <c r="L483">
        <v>0.1</v>
      </c>
      <c r="M483">
        <v>3274.13</v>
      </c>
      <c r="N483">
        <v>36015.42</v>
      </c>
      <c r="O483" t="s">
        <v>35</v>
      </c>
    </row>
    <row r="484" spans="1:15" x14ac:dyDescent="0.35">
      <c r="A484" t="s">
        <v>537</v>
      </c>
      <c r="B484" s="2">
        <v>46050</v>
      </c>
      <c r="C484" t="s">
        <v>27</v>
      </c>
      <c r="D484" t="s">
        <v>28</v>
      </c>
      <c r="E484" t="s">
        <v>29</v>
      </c>
      <c r="F484" t="s">
        <v>30</v>
      </c>
      <c r="G484">
        <v>7</v>
      </c>
      <c r="H484">
        <v>101139.48</v>
      </c>
      <c r="I484">
        <v>0.1</v>
      </c>
      <c r="J484">
        <v>707976.36</v>
      </c>
      <c r="K484">
        <v>70797.64</v>
      </c>
      <c r="L484">
        <v>7.4999999999999997E-2</v>
      </c>
      <c r="M484">
        <v>47788.4</v>
      </c>
      <c r="N484">
        <v>684967.12</v>
      </c>
      <c r="O484" t="s">
        <v>20</v>
      </c>
    </row>
    <row r="485" spans="1:15" x14ac:dyDescent="0.35">
      <c r="A485" t="s">
        <v>538</v>
      </c>
      <c r="B485" s="2">
        <v>46134</v>
      </c>
      <c r="C485" t="s">
        <v>32</v>
      </c>
      <c r="D485" t="s">
        <v>33</v>
      </c>
      <c r="E485" t="s">
        <v>34</v>
      </c>
      <c r="F485" t="s">
        <v>30</v>
      </c>
      <c r="G485">
        <v>6</v>
      </c>
      <c r="H485">
        <v>11149.98</v>
      </c>
      <c r="I485">
        <v>0.05</v>
      </c>
      <c r="J485">
        <v>66899.88</v>
      </c>
      <c r="K485">
        <v>3344.99</v>
      </c>
      <c r="L485">
        <v>0.1</v>
      </c>
      <c r="M485">
        <v>6355.49</v>
      </c>
      <c r="N485">
        <v>69910.38</v>
      </c>
      <c r="O485" t="s">
        <v>35</v>
      </c>
    </row>
    <row r="486" spans="1:15" x14ac:dyDescent="0.35">
      <c r="A486" t="s">
        <v>539</v>
      </c>
      <c r="B486" s="2">
        <v>46239</v>
      </c>
      <c r="C486" t="s">
        <v>37</v>
      </c>
      <c r="D486" t="s">
        <v>38</v>
      </c>
      <c r="E486" t="s">
        <v>39</v>
      </c>
      <c r="F486" t="s">
        <v>40</v>
      </c>
      <c r="G486">
        <v>7</v>
      </c>
      <c r="H486">
        <v>160142.95000000001</v>
      </c>
      <c r="I486">
        <v>0</v>
      </c>
      <c r="J486">
        <v>1121000.6499999999</v>
      </c>
      <c r="K486">
        <v>0</v>
      </c>
      <c r="L486">
        <v>0.1</v>
      </c>
      <c r="M486">
        <v>112100.06</v>
      </c>
      <c r="N486">
        <v>1233100.71</v>
      </c>
      <c r="O486" t="s">
        <v>35</v>
      </c>
    </row>
    <row r="487" spans="1:15" x14ac:dyDescent="0.35">
      <c r="A487" t="s">
        <v>540</v>
      </c>
      <c r="B487" s="2">
        <v>46161</v>
      </c>
      <c r="C487" t="s">
        <v>42</v>
      </c>
      <c r="D487" t="s">
        <v>43</v>
      </c>
      <c r="E487" t="s">
        <v>44</v>
      </c>
      <c r="F487" t="s">
        <v>45</v>
      </c>
      <c r="G487">
        <v>4</v>
      </c>
      <c r="H487">
        <v>78806.490000000005</v>
      </c>
      <c r="I487">
        <v>0.05</v>
      </c>
      <c r="J487">
        <v>315225.96000000002</v>
      </c>
      <c r="K487">
        <v>15761.3</v>
      </c>
      <c r="L487">
        <v>0.1</v>
      </c>
      <c r="M487">
        <v>29946.47</v>
      </c>
      <c r="N487">
        <v>329411.13</v>
      </c>
      <c r="O487" t="s">
        <v>35</v>
      </c>
    </row>
    <row r="488" spans="1:15" x14ac:dyDescent="0.35">
      <c r="A488" t="s">
        <v>541</v>
      </c>
      <c r="B488" s="2">
        <v>46170</v>
      </c>
      <c r="C488" t="s">
        <v>47</v>
      </c>
      <c r="D488" t="s">
        <v>48</v>
      </c>
      <c r="E488" t="s">
        <v>49</v>
      </c>
      <c r="F488" t="s">
        <v>50</v>
      </c>
      <c r="G488">
        <v>4</v>
      </c>
      <c r="H488">
        <v>125512.83</v>
      </c>
      <c r="I488">
        <v>0.05</v>
      </c>
      <c r="J488">
        <v>502051.32</v>
      </c>
      <c r="K488">
        <v>25102.57</v>
      </c>
      <c r="L488">
        <v>0.1</v>
      </c>
      <c r="M488">
        <v>47694.879999999997</v>
      </c>
      <c r="N488">
        <v>524643.63</v>
      </c>
      <c r="O488" t="s">
        <v>20</v>
      </c>
    </row>
    <row r="489" spans="1:15" x14ac:dyDescent="0.35">
      <c r="A489" t="s">
        <v>542</v>
      </c>
      <c r="B489" s="2">
        <v>46099</v>
      </c>
      <c r="C489" t="s">
        <v>52</v>
      </c>
      <c r="D489" t="s">
        <v>53</v>
      </c>
      <c r="E489" t="s">
        <v>54</v>
      </c>
      <c r="F489" t="s">
        <v>50</v>
      </c>
      <c r="G489">
        <v>2</v>
      </c>
      <c r="H489">
        <v>105516.63</v>
      </c>
      <c r="I489">
        <v>0.05</v>
      </c>
      <c r="J489">
        <v>211033.26</v>
      </c>
      <c r="K489">
        <v>10551.66</v>
      </c>
      <c r="L489">
        <v>0.1</v>
      </c>
      <c r="M489">
        <v>20048.16</v>
      </c>
      <c r="N489">
        <v>220529.76</v>
      </c>
      <c r="O489" t="s">
        <v>35</v>
      </c>
    </row>
    <row r="490" spans="1:15" x14ac:dyDescent="0.35">
      <c r="A490" t="s">
        <v>543</v>
      </c>
      <c r="B490" s="2">
        <v>46211</v>
      </c>
      <c r="C490" t="s">
        <v>56</v>
      </c>
      <c r="D490" t="s">
        <v>57</v>
      </c>
      <c r="E490" t="s">
        <v>58</v>
      </c>
      <c r="F490" t="s">
        <v>19</v>
      </c>
      <c r="G490">
        <v>3</v>
      </c>
      <c r="H490">
        <v>23250.61</v>
      </c>
      <c r="I490">
        <v>0.05</v>
      </c>
      <c r="J490">
        <v>69751.83</v>
      </c>
      <c r="K490">
        <v>3487.59</v>
      </c>
      <c r="L490">
        <v>7.4999999999999997E-2</v>
      </c>
      <c r="M490">
        <v>4969.82</v>
      </c>
      <c r="N490">
        <v>71234.06</v>
      </c>
      <c r="O490" t="s">
        <v>35</v>
      </c>
    </row>
    <row r="491" spans="1:15" x14ac:dyDescent="0.35">
      <c r="A491" t="s">
        <v>544</v>
      </c>
      <c r="B491" s="2">
        <v>46153</v>
      </c>
      <c r="C491" t="s">
        <v>60</v>
      </c>
      <c r="D491" t="s">
        <v>61</v>
      </c>
      <c r="E491" t="s">
        <v>62</v>
      </c>
      <c r="F491" t="s">
        <v>19</v>
      </c>
      <c r="G491">
        <v>2</v>
      </c>
      <c r="H491">
        <v>216870.57</v>
      </c>
      <c r="I491">
        <v>0.1</v>
      </c>
      <c r="J491">
        <v>433741.14</v>
      </c>
      <c r="K491">
        <v>43374.11</v>
      </c>
      <c r="L491">
        <v>0.1</v>
      </c>
      <c r="M491">
        <v>39036.699999999997</v>
      </c>
      <c r="N491">
        <v>429403.73</v>
      </c>
      <c r="O491" t="s">
        <v>35</v>
      </c>
    </row>
    <row r="492" spans="1:15" x14ac:dyDescent="0.35">
      <c r="A492" t="s">
        <v>545</v>
      </c>
      <c r="B492" s="2">
        <v>46225</v>
      </c>
      <c r="C492" t="s">
        <v>16</v>
      </c>
      <c r="D492" t="s">
        <v>17</v>
      </c>
      <c r="E492" t="s">
        <v>18</v>
      </c>
      <c r="F492" t="s">
        <v>19</v>
      </c>
      <c r="G492">
        <v>3</v>
      </c>
      <c r="H492">
        <v>698193.02</v>
      </c>
      <c r="I492">
        <v>0.1</v>
      </c>
      <c r="J492">
        <v>2094579.06</v>
      </c>
      <c r="K492">
        <v>209457.91</v>
      </c>
      <c r="L492">
        <v>0.1</v>
      </c>
      <c r="M492">
        <v>188512.12</v>
      </c>
      <c r="N492">
        <v>2073633.27</v>
      </c>
      <c r="O492" t="s">
        <v>35</v>
      </c>
    </row>
    <row r="493" spans="1:15" x14ac:dyDescent="0.35">
      <c r="A493" t="s">
        <v>546</v>
      </c>
      <c r="B493" s="2">
        <v>46083</v>
      </c>
      <c r="C493" t="s">
        <v>22</v>
      </c>
      <c r="D493" t="s">
        <v>23</v>
      </c>
      <c r="E493" t="s">
        <v>24</v>
      </c>
      <c r="F493" t="s">
        <v>19</v>
      </c>
      <c r="G493">
        <v>2</v>
      </c>
      <c r="H493">
        <v>17766.12</v>
      </c>
      <c r="I493">
        <v>0.15</v>
      </c>
      <c r="J493">
        <v>35532.239999999998</v>
      </c>
      <c r="K493">
        <v>5329.84</v>
      </c>
      <c r="L493">
        <v>0.1</v>
      </c>
      <c r="M493">
        <v>3020.24</v>
      </c>
      <c r="N493">
        <v>33222.639999999999</v>
      </c>
      <c r="O493" t="s">
        <v>35</v>
      </c>
    </row>
    <row r="494" spans="1:15" x14ac:dyDescent="0.35">
      <c r="A494" t="s">
        <v>547</v>
      </c>
      <c r="B494" s="2">
        <v>46244</v>
      </c>
      <c r="C494" t="s">
        <v>27</v>
      </c>
      <c r="D494" t="s">
        <v>28</v>
      </c>
      <c r="E494" t="s">
        <v>29</v>
      </c>
      <c r="F494" t="s">
        <v>30</v>
      </c>
      <c r="G494">
        <v>5</v>
      </c>
      <c r="H494">
        <v>91299.26</v>
      </c>
      <c r="I494">
        <v>0.1</v>
      </c>
      <c r="J494">
        <v>456496.3</v>
      </c>
      <c r="K494">
        <v>45649.63</v>
      </c>
      <c r="L494">
        <v>7.4999999999999997E-2</v>
      </c>
      <c r="M494">
        <v>30813.5</v>
      </c>
      <c r="N494">
        <v>441660.17</v>
      </c>
      <c r="O494" t="s">
        <v>35</v>
      </c>
    </row>
    <row r="495" spans="1:15" x14ac:dyDescent="0.35">
      <c r="A495" t="s">
        <v>548</v>
      </c>
      <c r="B495" s="2">
        <v>46154</v>
      </c>
      <c r="C495" t="s">
        <v>32</v>
      </c>
      <c r="D495" t="s">
        <v>33</v>
      </c>
      <c r="E495" t="s">
        <v>34</v>
      </c>
      <c r="F495" t="s">
        <v>30</v>
      </c>
      <c r="G495">
        <v>1</v>
      </c>
      <c r="H495">
        <v>11930.75</v>
      </c>
      <c r="I495">
        <v>0</v>
      </c>
      <c r="J495">
        <v>11930.75</v>
      </c>
      <c r="K495">
        <v>0</v>
      </c>
      <c r="L495">
        <v>7.4999999999999997E-2</v>
      </c>
      <c r="M495">
        <v>894.81</v>
      </c>
      <c r="N495">
        <v>12825.56</v>
      </c>
      <c r="O495" t="s">
        <v>25</v>
      </c>
    </row>
    <row r="496" spans="1:15" x14ac:dyDescent="0.35">
      <c r="A496" t="s">
        <v>549</v>
      </c>
      <c r="B496" s="2">
        <v>46222</v>
      </c>
      <c r="C496" t="s">
        <v>37</v>
      </c>
      <c r="D496" t="s">
        <v>38</v>
      </c>
      <c r="E496" t="s">
        <v>39</v>
      </c>
      <c r="F496" t="s">
        <v>40</v>
      </c>
      <c r="G496">
        <v>5</v>
      </c>
      <c r="H496">
        <v>140738.29999999999</v>
      </c>
      <c r="I496">
        <v>0.05</v>
      </c>
      <c r="J496">
        <v>703691.5</v>
      </c>
      <c r="K496">
        <v>35184.58</v>
      </c>
      <c r="L496">
        <v>7.4999999999999997E-2</v>
      </c>
      <c r="M496">
        <v>50138.02</v>
      </c>
      <c r="N496">
        <v>718644.94</v>
      </c>
      <c r="O496" t="s">
        <v>35</v>
      </c>
    </row>
    <row r="497" spans="1:15" x14ac:dyDescent="0.35">
      <c r="A497" t="s">
        <v>550</v>
      </c>
      <c r="B497" s="2">
        <v>46107</v>
      </c>
      <c r="C497" t="s">
        <v>42</v>
      </c>
      <c r="D497" t="s">
        <v>43</v>
      </c>
      <c r="E497" t="s">
        <v>44</v>
      </c>
      <c r="F497" t="s">
        <v>45</v>
      </c>
      <c r="G497">
        <v>1</v>
      </c>
      <c r="H497">
        <v>89768.38</v>
      </c>
      <c r="I497">
        <v>0.1</v>
      </c>
      <c r="J497">
        <v>89768.38</v>
      </c>
      <c r="K497">
        <v>8976.84</v>
      </c>
      <c r="L497">
        <v>7.4999999999999997E-2</v>
      </c>
      <c r="M497">
        <v>6059.37</v>
      </c>
      <c r="N497">
        <v>86850.91</v>
      </c>
      <c r="O497" t="s">
        <v>25</v>
      </c>
    </row>
    <row r="498" spans="1:15" x14ac:dyDescent="0.35">
      <c r="A498" t="s">
        <v>551</v>
      </c>
      <c r="B498" s="2">
        <v>46195</v>
      </c>
      <c r="C498" t="s">
        <v>47</v>
      </c>
      <c r="D498" t="s">
        <v>48</v>
      </c>
      <c r="E498" t="s">
        <v>49</v>
      </c>
      <c r="F498" t="s">
        <v>50</v>
      </c>
      <c r="G498">
        <v>5</v>
      </c>
      <c r="H498">
        <v>126914.68</v>
      </c>
      <c r="I498">
        <v>0.05</v>
      </c>
      <c r="J498">
        <v>634573.4</v>
      </c>
      <c r="K498">
        <v>31728.67</v>
      </c>
      <c r="L498">
        <v>7.4999999999999997E-2</v>
      </c>
      <c r="M498">
        <v>45213.35</v>
      </c>
      <c r="N498">
        <v>648058.07999999996</v>
      </c>
      <c r="O498" t="s">
        <v>20</v>
      </c>
    </row>
    <row r="499" spans="1:15" x14ac:dyDescent="0.35">
      <c r="A499" t="s">
        <v>552</v>
      </c>
      <c r="B499" s="2">
        <v>46224</v>
      </c>
      <c r="C499" t="s">
        <v>52</v>
      </c>
      <c r="D499" t="s">
        <v>53</v>
      </c>
      <c r="E499" t="s">
        <v>54</v>
      </c>
      <c r="F499" t="s">
        <v>50</v>
      </c>
      <c r="G499">
        <v>1</v>
      </c>
      <c r="H499">
        <v>100696.61</v>
      </c>
      <c r="I499">
        <v>0.05</v>
      </c>
      <c r="J499">
        <v>100696.61</v>
      </c>
      <c r="K499">
        <v>5034.83</v>
      </c>
      <c r="L499">
        <v>0.1</v>
      </c>
      <c r="M499">
        <v>9566.18</v>
      </c>
      <c r="N499">
        <v>105227.96</v>
      </c>
      <c r="O499" t="s">
        <v>20</v>
      </c>
    </row>
    <row r="500" spans="1:15" x14ac:dyDescent="0.35">
      <c r="A500" t="s">
        <v>553</v>
      </c>
      <c r="B500" s="2">
        <v>46138</v>
      </c>
      <c r="C500" t="s">
        <v>56</v>
      </c>
      <c r="D500" t="s">
        <v>57</v>
      </c>
      <c r="E500" t="s">
        <v>58</v>
      </c>
      <c r="F500" t="s">
        <v>19</v>
      </c>
      <c r="G500">
        <v>2</v>
      </c>
      <c r="H500">
        <v>23663.1</v>
      </c>
      <c r="I500">
        <v>0.05</v>
      </c>
      <c r="J500">
        <v>47326.2</v>
      </c>
      <c r="K500">
        <v>2366.31</v>
      </c>
      <c r="L500">
        <v>0.1</v>
      </c>
      <c r="M500">
        <v>4495.99</v>
      </c>
      <c r="N500">
        <v>49455.88</v>
      </c>
      <c r="O500" t="s">
        <v>35</v>
      </c>
    </row>
    <row r="501" spans="1:15" x14ac:dyDescent="0.35">
      <c r="A501" t="s">
        <v>554</v>
      </c>
      <c r="B501" s="2">
        <v>46151</v>
      </c>
      <c r="C501" t="s">
        <v>60</v>
      </c>
      <c r="D501" t="s">
        <v>555</v>
      </c>
      <c r="E501" t="s">
        <v>62</v>
      </c>
      <c r="F501" t="s">
        <v>19</v>
      </c>
      <c r="G501">
        <v>2</v>
      </c>
      <c r="H501">
        <v>218672.8</v>
      </c>
      <c r="I501">
        <v>0.15</v>
      </c>
      <c r="J501">
        <v>437345.6</v>
      </c>
      <c r="K501">
        <v>65601.84</v>
      </c>
      <c r="L501">
        <v>7.4999999999999997E-2</v>
      </c>
      <c r="M501">
        <v>27880.78</v>
      </c>
      <c r="N501">
        <v>399624.54</v>
      </c>
      <c r="O501" t="s">
        <v>20</v>
      </c>
    </row>
  </sheetData>
  <conditionalFormatting sqref="A1:A501">
    <cfRule type="duplicateValues" dxfId="0"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B44E9-0DF6-4A69-A598-9B1F37DC10C7}">
  <dimension ref="A1:D16"/>
  <sheetViews>
    <sheetView zoomScale="94" zoomScaleNormal="94" workbookViewId="0">
      <selection activeCell="C5" sqref="C5"/>
    </sheetView>
  </sheetViews>
  <sheetFormatPr defaultRowHeight="14.5" x14ac:dyDescent="0.35"/>
  <cols>
    <col min="1" max="1" width="25.36328125" bestFit="1" customWidth="1"/>
    <col min="2" max="2" width="18.7265625" customWidth="1"/>
    <col min="3" max="3" width="14.54296875" customWidth="1"/>
    <col min="4" max="4" width="11" customWidth="1"/>
  </cols>
  <sheetData>
    <row r="1" spans="1:4" ht="29" x14ac:dyDescent="0.35">
      <c r="A1" s="29" t="s">
        <v>612</v>
      </c>
      <c r="B1" s="29" t="s">
        <v>613</v>
      </c>
      <c r="C1" s="29" t="s">
        <v>614</v>
      </c>
      <c r="D1" s="29" t="s">
        <v>615</v>
      </c>
    </row>
    <row r="2" spans="1:4" x14ac:dyDescent="0.35">
      <c r="A2">
        <v>481</v>
      </c>
      <c r="B2" s="12">
        <f>Processed_Invoice_Data!N481</f>
        <v>1138237.06</v>
      </c>
      <c r="C2">
        <f>ROUND(Processed_Invoice_Data!J481-Processed_Invoice_Data!K481+Processed_Invoice_Data!M481,2)</f>
        <v>1138237.06</v>
      </c>
      <c r="D2" t="str">
        <f>IF(B2=C2,"PASS","FAIL")</f>
        <v>PASS</v>
      </c>
    </row>
    <row r="4" spans="1:4" x14ac:dyDescent="0.35">
      <c r="A4" s="29" t="s">
        <v>616</v>
      </c>
      <c r="B4" s="29" t="s">
        <v>617</v>
      </c>
    </row>
    <row r="5" spans="1:4" x14ac:dyDescent="0.35">
      <c r="A5" t="s">
        <v>618</v>
      </c>
      <c r="B5">
        <f>COUNTA(Raw_Invoice_Data!A2:A501)</f>
        <v>500</v>
      </c>
    </row>
    <row r="6" spans="1:4" x14ac:dyDescent="0.35">
      <c r="A6" t="s">
        <v>619</v>
      </c>
      <c r="B6">
        <f>COUNTA(Processed_Invoice_Data!A2:A501)</f>
        <v>500</v>
      </c>
    </row>
    <row r="7" spans="1:4" x14ac:dyDescent="0.35">
      <c r="A7" t="s">
        <v>620</v>
      </c>
      <c r="B7" s="13" t="str">
        <f>IF(B5=B6,"PASS","FAIL")</f>
        <v>PASS</v>
      </c>
    </row>
    <row r="8" spans="1:4" x14ac:dyDescent="0.35">
      <c r="A8" s="8"/>
      <c r="B8" s="8"/>
    </row>
    <row r="9" spans="1:4" x14ac:dyDescent="0.35">
      <c r="A9" t="s">
        <v>621</v>
      </c>
      <c r="B9" s="13" t="str">
        <f>IF(COUNTIF(Processed_Invoice_Data!A:A,"INV-00024")=2,"DOCUMENTED","CHECK")</f>
        <v>DOCUMENTED</v>
      </c>
    </row>
    <row r="10" spans="1:4" x14ac:dyDescent="0.35">
      <c r="B10" s="13"/>
    </row>
    <row r="11" spans="1:4" x14ac:dyDescent="0.35">
      <c r="A11" t="s">
        <v>622</v>
      </c>
      <c r="B11" s="13" t="str">
        <f>IF(Processed_Invoice_Data!D76="","DOCUMENTED","CHECK")</f>
        <v>DOCUMENTED</v>
      </c>
    </row>
    <row r="12" spans="1:4" x14ac:dyDescent="0.35">
      <c r="A12" t="s">
        <v>623</v>
      </c>
      <c r="B12" s="13" t="str">
        <f>IF(Processed_Invoice_Data!C436="","DOCUMENTED","CHECK")</f>
        <v>DOCUMENTED</v>
      </c>
    </row>
    <row r="14" spans="1:4" x14ac:dyDescent="0.35">
      <c r="A14" t="s">
        <v>624</v>
      </c>
      <c r="B14">
        <f>Raw_Invoice_Data!N481</f>
        <v>1148237.06</v>
      </c>
    </row>
    <row r="15" spans="1:4" x14ac:dyDescent="0.35">
      <c r="A15" t="s">
        <v>625</v>
      </c>
      <c r="B15" s="12">
        <f>Processed_Invoice_Data!N481</f>
        <v>1138237.06</v>
      </c>
    </row>
    <row r="16" spans="1:4" x14ac:dyDescent="0.35">
      <c r="A16" t="s">
        <v>626</v>
      </c>
      <c r="B16" s="13" t="str">
        <f>IF(B14-B15=10000,"PASS","CHECK")</f>
        <v>PASS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Raw_Invoice_Data</vt:lpstr>
      <vt:lpstr>Data Quality Summary</vt:lpstr>
      <vt:lpstr>Quality Inspection</vt:lpstr>
      <vt:lpstr>Processed_Invoice_Data</vt:lpstr>
      <vt:lpstr>Final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Friday Onyolu</cp:lastModifiedBy>
  <dcterms:created xsi:type="dcterms:W3CDTF">2026-09-21T12:10:25Z</dcterms:created>
  <dcterms:modified xsi:type="dcterms:W3CDTF">2026-09-22T13:01:24Z</dcterms:modified>
</cp:coreProperties>
</file>